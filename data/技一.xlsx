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meiwa\Downloads\"/>
    </mc:Choice>
  </mc:AlternateContent>
  <xr:revisionPtr revIDLastSave="0" documentId="13_ncr:1_{805DC037-F976-4745-9352-DC4643250F4F}" xr6:coauthVersionLast="47" xr6:coauthVersionMax="47" xr10:uidLastSave="{00000000-0000-0000-0000-000000000000}"/>
  <bookViews>
    <workbookView xWindow="148" yWindow="935" windowWidth="26974" windowHeight="14371" firstSheet="1" activeTab="4" xr2:uid="{00000000-000D-0000-FFFF-FFFF00000000}"/>
  </bookViews>
  <sheets>
    <sheet name="必殺技一覧" sheetId="1" r:id="rId1"/>
    <sheet name="オフェンス" sheetId="3" r:id="rId2"/>
    <sheet name="シュート" sheetId="4" r:id="rId3"/>
    <sheet name="ディフェンス" sheetId="5" r:id="rId4"/>
    <sheet name="キーパー" sheetId="7" r:id="rId5"/>
    <sheet name="パッシブ" sheetId="8" r:id="rId6"/>
    <sheet name="パッシブ2" sheetId="10" r:id="rId7"/>
  </sheets>
  <definedNames>
    <definedName name="_xlnm._FilterDatabase" localSheetId="1" hidden="1">オフェンス!$A$1:$G$77</definedName>
    <definedName name="_xlnm._FilterDatabase" localSheetId="4" hidden="1">キーパー!$A$1:$G$94</definedName>
    <definedName name="_xlnm._FilterDatabase" localSheetId="2" hidden="1">シュート!$A$1:$G$1</definedName>
    <definedName name="_xlnm._FilterDatabase" localSheetId="3" hidden="1">ディフェンス!$A$1:$G$92</definedName>
  </definedNames>
  <calcPr calcId="191029"/>
  <customWorkbookViews>
    <customWorkbookView name="威力未記入" guid="{A9F5CD00-7FF3-4233-B794-C008A23539A1}" maximized="1" windowWidth="0" windowHeight="0" activeSheetId="0"/>
    <customWorkbookView name="威力100必殺技属性ごと" guid="{CE403696-B178-4E04-B5A0-11E70D0C1EB1}" maximized="1" windowWidth="0" windowHeight="0" activeSheetId="0"/>
    <customWorkbookView name="入手場所未記入" guid="{A170F6E6-5E40-4AE1-8937-653B51776DCB}" maximized="1" windowWidth="0" windowHeight="0" activeSheetId="0"/>
    <customWorkbookView name="フィルタ 1" guid="{DE83AC72-6FA5-4674-B60F-1C480EAE1F84}" maximized="1" windowWidth="0" windowHeight="0" activeSheetId="0"/>
    <customWorkbookView name="シュート技　威力順" guid="{EFDB9FEF-DB3B-47A4-8B99-2EF7563C3559}" maximized="1" windowWidth="0" windowHeight="0" activeSheetId="0"/>
  </customWorkbookViews>
</workbook>
</file>

<file path=xl/calcChain.xml><?xml version="1.0" encoding="utf-8"?>
<calcChain xmlns="http://schemas.openxmlformats.org/spreadsheetml/2006/main">
  <c r="E23" i="7" l="1"/>
  <c r="E69" i="7"/>
  <c r="E2" i="7"/>
  <c r="E94" i="7"/>
  <c r="E93" i="7"/>
  <c r="E92" i="7"/>
  <c r="E91" i="7"/>
  <c r="E68" i="7"/>
  <c r="E90" i="7"/>
  <c r="E45" i="7"/>
  <c r="E20" i="7"/>
  <c r="E89" i="7"/>
  <c r="E44" i="7"/>
  <c r="E27" i="7"/>
  <c r="E43" i="7"/>
  <c r="E88" i="7"/>
  <c r="E42" i="7"/>
  <c r="E19" i="7"/>
  <c r="E18" i="7"/>
  <c r="E75" i="7"/>
  <c r="E41" i="7"/>
  <c r="E67" i="7"/>
  <c r="E40" i="7"/>
  <c r="E47" i="7"/>
  <c r="E17" i="7"/>
  <c r="E16" i="7"/>
  <c r="E87" i="7"/>
  <c r="E39" i="7"/>
  <c r="E46" i="7"/>
  <c r="E38" i="7"/>
  <c r="E37" i="7"/>
  <c r="E66" i="7"/>
  <c r="E65" i="7"/>
  <c r="E36" i="7"/>
  <c r="E15" i="7"/>
  <c r="E35" i="7"/>
  <c r="E74" i="7"/>
  <c r="E64" i="7"/>
  <c r="E34" i="7"/>
  <c r="E14" i="7"/>
  <c r="E33" i="7"/>
  <c r="E86" i="7"/>
  <c r="E13" i="7"/>
  <c r="E12" i="7"/>
  <c r="E63" i="7"/>
  <c r="E73" i="7"/>
  <c r="E85" i="7"/>
  <c r="E62" i="7"/>
  <c r="E61" i="7"/>
  <c r="E60" i="7"/>
  <c r="E72" i="7"/>
  <c r="E59" i="7"/>
  <c r="E11" i="7"/>
  <c r="E22" i="7"/>
  <c r="E21" i="7"/>
  <c r="E84" i="7"/>
  <c r="E83" i="7"/>
  <c r="E10" i="7"/>
  <c r="E32" i="7"/>
  <c r="E82" i="7"/>
  <c r="E58" i="7"/>
  <c r="E81" i="7"/>
  <c r="E57" i="7"/>
  <c r="E9" i="7"/>
  <c r="E26" i="7"/>
  <c r="E31" i="7"/>
  <c r="E8" i="7"/>
  <c r="E80" i="7"/>
  <c r="E30" i="7"/>
  <c r="E56" i="7"/>
  <c r="E71" i="7"/>
  <c r="E55" i="7"/>
  <c r="E54" i="7"/>
  <c r="E79" i="7"/>
  <c r="E53" i="7"/>
  <c r="E52" i="7"/>
  <c r="E7" i="7"/>
  <c r="E29" i="7"/>
  <c r="E78" i="7"/>
  <c r="E6" i="7"/>
  <c r="E25" i="7"/>
  <c r="E70" i="7"/>
  <c r="E77" i="7"/>
  <c r="E5" i="7"/>
  <c r="E51" i="7"/>
  <c r="E50" i="7"/>
  <c r="E28" i="7"/>
  <c r="E4" i="7"/>
  <c r="E49" i="7"/>
  <c r="E24" i="7"/>
  <c r="E48" i="7"/>
  <c r="E3" i="7"/>
  <c r="E76" i="7"/>
  <c r="E94" i="5"/>
  <c r="E92" i="5"/>
  <c r="E91" i="5"/>
  <c r="E90" i="5"/>
  <c r="E89" i="5"/>
  <c r="E88" i="5"/>
  <c r="E87" i="5"/>
  <c r="E86" i="5"/>
  <c r="E85" i="5"/>
  <c r="E84" i="5"/>
  <c r="E83" i="5"/>
  <c r="E82" i="5"/>
  <c r="E81" i="5"/>
  <c r="E80" i="5"/>
  <c r="E79" i="5"/>
  <c r="E78" i="5"/>
  <c r="E77" i="5"/>
  <c r="E76" i="5"/>
  <c r="E75" i="5"/>
  <c r="E74" i="5"/>
  <c r="E73" i="5"/>
  <c r="E72" i="5"/>
  <c r="E71" i="5"/>
  <c r="E70" i="5"/>
  <c r="E69" i="5"/>
  <c r="E68" i="5"/>
  <c r="E67" i="5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E2" i="5"/>
  <c r="E188" i="4"/>
  <c r="E187" i="4"/>
  <c r="E186" i="4"/>
  <c r="E185" i="4"/>
  <c r="E184" i="4"/>
  <c r="E183" i="4"/>
  <c r="E182" i="4"/>
  <c r="E181" i="4"/>
  <c r="E180" i="4"/>
  <c r="E179" i="4"/>
  <c r="E178" i="4"/>
  <c r="E177" i="4"/>
  <c r="E176" i="4"/>
  <c r="E175" i="4"/>
  <c r="E174" i="4"/>
  <c r="E173" i="4"/>
  <c r="E172" i="4"/>
  <c r="E171" i="4"/>
  <c r="E170" i="4"/>
  <c r="E169" i="4"/>
  <c r="E168" i="4"/>
  <c r="E167" i="4"/>
  <c r="E166" i="4"/>
  <c r="E28" i="4"/>
  <c r="E165" i="4"/>
  <c r="E164" i="4"/>
  <c r="E163" i="4"/>
  <c r="E162" i="4"/>
  <c r="E161" i="4"/>
  <c r="E160" i="4"/>
  <c r="E159" i="4"/>
  <c r="E158" i="4"/>
  <c r="E157" i="4"/>
  <c r="E156" i="4"/>
  <c r="E155" i="4"/>
  <c r="E154" i="4"/>
  <c r="E153" i="4"/>
  <c r="E152" i="4"/>
  <c r="E151" i="4"/>
  <c r="E150" i="4"/>
  <c r="E149" i="4"/>
  <c r="E148" i="4"/>
  <c r="E147" i="4"/>
  <c r="E146" i="4"/>
  <c r="E145" i="4"/>
  <c r="E144" i="4"/>
  <c r="E143" i="4"/>
  <c r="E142" i="4"/>
  <c r="E141" i="4"/>
  <c r="E140" i="4"/>
  <c r="E139" i="4"/>
  <c r="E45" i="4"/>
  <c r="E27" i="4"/>
  <c r="E26" i="4"/>
  <c r="E25" i="4"/>
  <c r="E138" i="4"/>
  <c r="E137" i="4"/>
  <c r="E136" i="4"/>
  <c r="E135" i="4"/>
  <c r="E134" i="4"/>
  <c r="E133" i="4"/>
  <c r="E132" i="4"/>
  <c r="E131" i="4"/>
  <c r="E130" i="4"/>
  <c r="E129" i="4"/>
  <c r="E128" i="4"/>
  <c r="E127" i="4"/>
  <c r="E126" i="4"/>
  <c r="E125" i="4"/>
  <c r="E124" i="4"/>
  <c r="E123" i="4"/>
  <c r="E122" i="4"/>
  <c r="E121" i="4"/>
  <c r="E120" i="4"/>
  <c r="E119" i="4"/>
  <c r="E118" i="4"/>
  <c r="E117" i="4"/>
  <c r="E116" i="4"/>
  <c r="E115" i="4"/>
  <c r="E114" i="4"/>
  <c r="E113" i="4"/>
  <c r="E112" i="4"/>
  <c r="E111" i="4"/>
  <c r="E110" i="4"/>
  <c r="E44" i="4"/>
  <c r="E43" i="4"/>
  <c r="E42" i="4"/>
  <c r="E41" i="4"/>
  <c r="E40" i="4"/>
  <c r="E39" i="4"/>
  <c r="E24" i="4"/>
  <c r="E23" i="4"/>
  <c r="E22" i="4"/>
  <c r="E21" i="4"/>
  <c r="E2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7" i="4"/>
  <c r="E96" i="4"/>
  <c r="E95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38" i="4"/>
  <c r="E37" i="4"/>
  <c r="E36" i="4"/>
  <c r="E35" i="4"/>
  <c r="E34" i="4"/>
  <c r="E33" i="4"/>
  <c r="E32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76" i="4"/>
  <c r="E75" i="4"/>
  <c r="E74" i="4"/>
  <c r="E73" i="4"/>
  <c r="E72" i="4"/>
  <c r="E71" i="4"/>
  <c r="E70" i="4"/>
  <c r="E69" i="4"/>
  <c r="E68" i="4"/>
  <c r="E67" i="4"/>
  <c r="E66" i="4"/>
  <c r="E65" i="4"/>
  <c r="E64" i="4"/>
  <c r="E63" i="4"/>
  <c r="E62" i="4"/>
  <c r="E61" i="4"/>
  <c r="E60" i="4"/>
  <c r="E59" i="4"/>
  <c r="E58" i="4"/>
  <c r="E57" i="4"/>
  <c r="E56" i="4"/>
  <c r="E55" i="4"/>
  <c r="E54" i="4"/>
  <c r="E53" i="4"/>
  <c r="E52" i="4"/>
  <c r="E51" i="4"/>
  <c r="E31" i="4"/>
  <c r="E30" i="4"/>
  <c r="E5" i="4"/>
  <c r="E4" i="4"/>
  <c r="E3" i="4"/>
  <c r="E2" i="4"/>
  <c r="E50" i="4"/>
  <c r="E49" i="4"/>
  <c r="E48" i="4"/>
  <c r="E47" i="4"/>
  <c r="E46" i="4"/>
  <c r="E77" i="3"/>
  <c r="E76" i="3"/>
  <c r="E75" i="3"/>
  <c r="E74" i="3"/>
  <c r="E73" i="3"/>
  <c r="E72" i="3"/>
  <c r="E71" i="3"/>
  <c r="E70" i="3"/>
  <c r="E69" i="3"/>
  <c r="E68" i="3"/>
  <c r="E67" i="3"/>
  <c r="E66" i="3"/>
  <c r="E65" i="3"/>
  <c r="E64" i="3"/>
  <c r="E63" i="3"/>
  <c r="E62" i="3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  <c r="C448" i="1"/>
  <c r="B448" i="1"/>
  <c r="A448" i="1"/>
  <c r="C447" i="1"/>
  <c r="B447" i="1"/>
  <c r="A447" i="1"/>
  <c r="G446" i="1"/>
  <c r="C446" i="1"/>
  <c r="B446" i="1"/>
  <c r="A446" i="1"/>
  <c r="F445" i="1"/>
  <c r="E445" i="1"/>
  <c r="D445" i="1"/>
  <c r="C445" i="1"/>
  <c r="B445" i="1"/>
  <c r="A445" i="1"/>
  <c r="F444" i="1"/>
  <c r="E444" i="1"/>
  <c r="D444" i="1"/>
  <c r="C444" i="1"/>
  <c r="B444" i="1"/>
  <c r="A444" i="1"/>
  <c r="F443" i="1"/>
  <c r="E443" i="1"/>
  <c r="D443" i="1"/>
  <c r="C443" i="1"/>
  <c r="B443" i="1"/>
  <c r="A443" i="1"/>
  <c r="F442" i="1"/>
  <c r="E442" i="1"/>
  <c r="D442" i="1"/>
  <c r="C442" i="1"/>
  <c r="B442" i="1"/>
  <c r="A442" i="1"/>
  <c r="F441" i="1"/>
  <c r="E441" i="1"/>
  <c r="D441" i="1"/>
  <c r="C441" i="1"/>
  <c r="B441" i="1"/>
  <c r="A441" i="1"/>
  <c r="F440" i="1"/>
  <c r="E440" i="1"/>
  <c r="D440" i="1"/>
  <c r="C440" i="1"/>
  <c r="B440" i="1"/>
  <c r="A440" i="1"/>
  <c r="F439" i="1"/>
  <c r="E439" i="1"/>
  <c r="D439" i="1"/>
  <c r="C439" i="1"/>
  <c r="B439" i="1"/>
  <c r="A439" i="1"/>
  <c r="F438" i="1"/>
  <c r="E438" i="1"/>
  <c r="D438" i="1"/>
  <c r="C438" i="1"/>
  <c r="B438" i="1"/>
  <c r="A438" i="1"/>
  <c r="F437" i="1"/>
  <c r="E437" i="1"/>
  <c r="D437" i="1"/>
  <c r="C437" i="1"/>
  <c r="B437" i="1"/>
  <c r="A437" i="1"/>
  <c r="F436" i="1"/>
  <c r="E436" i="1"/>
  <c r="D436" i="1"/>
  <c r="C436" i="1"/>
  <c r="B436" i="1"/>
  <c r="A436" i="1"/>
  <c r="G435" i="1"/>
  <c r="F435" i="1"/>
  <c r="E435" i="1"/>
  <c r="D435" i="1"/>
  <c r="C435" i="1"/>
  <c r="B435" i="1"/>
  <c r="A435" i="1"/>
  <c r="F434" i="1"/>
  <c r="E434" i="1"/>
  <c r="D434" i="1"/>
  <c r="C434" i="1"/>
  <c r="B434" i="1"/>
  <c r="A434" i="1"/>
  <c r="F433" i="1"/>
  <c r="E433" i="1"/>
  <c r="D433" i="1"/>
  <c r="C433" i="1"/>
  <c r="B433" i="1"/>
  <c r="A433" i="1"/>
  <c r="F432" i="1"/>
  <c r="E432" i="1"/>
  <c r="D432" i="1"/>
  <c r="C432" i="1"/>
  <c r="B432" i="1"/>
  <c r="A432" i="1"/>
  <c r="F431" i="1"/>
  <c r="E431" i="1"/>
  <c r="D431" i="1"/>
  <c r="C431" i="1"/>
  <c r="B431" i="1"/>
  <c r="A431" i="1"/>
  <c r="F430" i="1"/>
  <c r="E430" i="1"/>
  <c r="D430" i="1"/>
  <c r="C430" i="1"/>
  <c r="B430" i="1"/>
  <c r="A430" i="1"/>
  <c r="G429" i="1"/>
  <c r="F429" i="1"/>
  <c r="E429" i="1"/>
  <c r="D429" i="1"/>
  <c r="C429" i="1"/>
  <c r="B429" i="1"/>
  <c r="A429" i="1"/>
  <c r="F428" i="1"/>
  <c r="E428" i="1"/>
  <c r="D428" i="1"/>
  <c r="C428" i="1"/>
  <c r="B428" i="1"/>
  <c r="A428" i="1"/>
  <c r="F427" i="1"/>
  <c r="E427" i="1"/>
  <c r="D427" i="1"/>
  <c r="C427" i="1"/>
  <c r="B427" i="1"/>
  <c r="A427" i="1"/>
  <c r="F426" i="1"/>
  <c r="E426" i="1"/>
  <c r="D426" i="1"/>
  <c r="C426" i="1"/>
  <c r="B426" i="1"/>
  <c r="A426" i="1"/>
  <c r="G425" i="1"/>
  <c r="F425" i="1"/>
  <c r="E425" i="1"/>
  <c r="D425" i="1"/>
  <c r="C425" i="1"/>
  <c r="B425" i="1"/>
  <c r="A425" i="1"/>
  <c r="F424" i="1"/>
  <c r="E424" i="1"/>
  <c r="D424" i="1"/>
  <c r="C424" i="1"/>
  <c r="B424" i="1"/>
  <c r="A424" i="1"/>
  <c r="F423" i="1"/>
  <c r="E423" i="1"/>
  <c r="D423" i="1"/>
  <c r="C423" i="1"/>
  <c r="B423" i="1"/>
  <c r="A423" i="1"/>
  <c r="F422" i="1"/>
  <c r="E422" i="1"/>
  <c r="D422" i="1"/>
  <c r="C422" i="1"/>
  <c r="B422" i="1"/>
  <c r="A422" i="1"/>
  <c r="F421" i="1"/>
  <c r="E421" i="1"/>
  <c r="D421" i="1"/>
  <c r="C421" i="1"/>
  <c r="B421" i="1"/>
  <c r="A421" i="1"/>
  <c r="G420" i="1"/>
  <c r="F420" i="1"/>
  <c r="E420" i="1"/>
  <c r="D420" i="1"/>
  <c r="C420" i="1"/>
  <c r="B420" i="1"/>
  <c r="A420" i="1"/>
  <c r="F419" i="1"/>
  <c r="E419" i="1"/>
  <c r="D419" i="1"/>
  <c r="C419" i="1"/>
  <c r="B419" i="1"/>
  <c r="A419" i="1"/>
  <c r="F418" i="1"/>
  <c r="E418" i="1"/>
  <c r="D418" i="1"/>
  <c r="C418" i="1"/>
  <c r="B418" i="1"/>
  <c r="A418" i="1"/>
  <c r="F417" i="1"/>
  <c r="E417" i="1"/>
  <c r="D417" i="1"/>
  <c r="C417" i="1"/>
  <c r="B417" i="1"/>
  <c r="A417" i="1"/>
  <c r="F416" i="1"/>
  <c r="E416" i="1"/>
  <c r="D416" i="1"/>
  <c r="C416" i="1"/>
  <c r="B416" i="1"/>
  <c r="A416" i="1"/>
  <c r="F415" i="1"/>
  <c r="E415" i="1"/>
  <c r="D415" i="1"/>
  <c r="C415" i="1"/>
  <c r="B415" i="1"/>
  <c r="A415" i="1"/>
  <c r="F414" i="1"/>
  <c r="E414" i="1"/>
  <c r="D414" i="1"/>
  <c r="C414" i="1"/>
  <c r="B414" i="1"/>
  <c r="A414" i="1"/>
  <c r="F413" i="1"/>
  <c r="E413" i="1"/>
  <c r="D413" i="1"/>
  <c r="C413" i="1"/>
  <c r="B413" i="1"/>
  <c r="A413" i="1"/>
  <c r="G412" i="1"/>
  <c r="F412" i="1"/>
  <c r="E412" i="1"/>
  <c r="D412" i="1"/>
  <c r="C412" i="1"/>
  <c r="B412" i="1"/>
  <c r="A412" i="1"/>
  <c r="F411" i="1"/>
  <c r="E411" i="1"/>
  <c r="D411" i="1"/>
  <c r="C411" i="1"/>
  <c r="B411" i="1"/>
  <c r="A411" i="1"/>
  <c r="F410" i="1"/>
  <c r="E410" i="1"/>
  <c r="D410" i="1"/>
  <c r="C410" i="1"/>
  <c r="B410" i="1"/>
  <c r="A410" i="1"/>
  <c r="F409" i="1"/>
  <c r="E409" i="1"/>
  <c r="D409" i="1"/>
  <c r="C409" i="1"/>
  <c r="B409" i="1"/>
  <c r="A409" i="1"/>
  <c r="F408" i="1"/>
  <c r="E408" i="1"/>
  <c r="D408" i="1"/>
  <c r="C408" i="1"/>
  <c r="B408" i="1"/>
  <c r="A408" i="1"/>
  <c r="F407" i="1"/>
  <c r="E407" i="1"/>
  <c r="D407" i="1"/>
  <c r="C407" i="1"/>
  <c r="B407" i="1"/>
  <c r="A407" i="1"/>
  <c r="F406" i="1"/>
  <c r="E406" i="1"/>
  <c r="D406" i="1"/>
  <c r="C406" i="1"/>
  <c r="B406" i="1"/>
  <c r="A406" i="1"/>
  <c r="F405" i="1"/>
  <c r="E405" i="1"/>
  <c r="D405" i="1"/>
  <c r="C405" i="1"/>
  <c r="B405" i="1"/>
  <c r="A405" i="1"/>
  <c r="F404" i="1"/>
  <c r="E404" i="1"/>
  <c r="D404" i="1"/>
  <c r="C404" i="1"/>
  <c r="B404" i="1"/>
  <c r="A404" i="1"/>
  <c r="G403" i="1"/>
  <c r="F403" i="1"/>
  <c r="E403" i="1"/>
  <c r="D403" i="1"/>
  <c r="C403" i="1"/>
  <c r="B403" i="1"/>
  <c r="A403" i="1"/>
  <c r="F402" i="1"/>
  <c r="E402" i="1"/>
  <c r="D402" i="1"/>
  <c r="C402" i="1"/>
  <c r="B402" i="1"/>
  <c r="A402" i="1"/>
  <c r="F401" i="1"/>
  <c r="E401" i="1"/>
  <c r="D401" i="1"/>
  <c r="C401" i="1"/>
  <c r="B401" i="1"/>
  <c r="A401" i="1"/>
  <c r="F400" i="1"/>
  <c r="E400" i="1"/>
  <c r="D400" i="1"/>
  <c r="C400" i="1"/>
  <c r="B400" i="1"/>
  <c r="A400" i="1"/>
  <c r="F399" i="1"/>
  <c r="E399" i="1"/>
  <c r="D399" i="1"/>
  <c r="C399" i="1"/>
  <c r="B399" i="1"/>
  <c r="A399" i="1"/>
  <c r="G398" i="1"/>
  <c r="F398" i="1"/>
  <c r="E398" i="1"/>
  <c r="D398" i="1"/>
  <c r="C398" i="1"/>
  <c r="B398" i="1"/>
  <c r="A398" i="1"/>
  <c r="F397" i="1"/>
  <c r="E397" i="1"/>
  <c r="D397" i="1"/>
  <c r="C397" i="1"/>
  <c r="B397" i="1"/>
  <c r="A397" i="1"/>
  <c r="F396" i="1"/>
  <c r="E396" i="1"/>
  <c r="D396" i="1"/>
  <c r="C396" i="1"/>
  <c r="B396" i="1"/>
  <c r="A396" i="1"/>
  <c r="F395" i="1"/>
  <c r="E395" i="1"/>
  <c r="D395" i="1"/>
  <c r="C395" i="1"/>
  <c r="B395" i="1"/>
  <c r="A395" i="1"/>
  <c r="F394" i="1"/>
  <c r="E394" i="1"/>
  <c r="D394" i="1"/>
  <c r="C394" i="1"/>
  <c r="B394" i="1"/>
  <c r="A394" i="1"/>
  <c r="F393" i="1"/>
  <c r="E393" i="1"/>
  <c r="D393" i="1"/>
  <c r="C393" i="1"/>
  <c r="B393" i="1"/>
  <c r="A393" i="1"/>
  <c r="F392" i="1"/>
  <c r="E392" i="1"/>
  <c r="D392" i="1"/>
  <c r="C392" i="1"/>
  <c r="B392" i="1"/>
  <c r="A392" i="1"/>
  <c r="F391" i="1"/>
  <c r="E391" i="1"/>
  <c r="D391" i="1"/>
  <c r="C391" i="1"/>
  <c r="B391" i="1"/>
  <c r="A391" i="1"/>
  <c r="F390" i="1"/>
  <c r="E390" i="1"/>
  <c r="D390" i="1"/>
  <c r="C390" i="1"/>
  <c r="B390" i="1"/>
  <c r="A390" i="1"/>
  <c r="F389" i="1"/>
  <c r="E389" i="1"/>
  <c r="D389" i="1"/>
  <c r="C389" i="1"/>
  <c r="B389" i="1"/>
  <c r="A389" i="1"/>
  <c r="F388" i="1"/>
  <c r="E388" i="1"/>
  <c r="D388" i="1"/>
  <c r="C388" i="1"/>
  <c r="B388" i="1"/>
  <c r="A388" i="1"/>
  <c r="F387" i="1"/>
  <c r="E387" i="1"/>
  <c r="D387" i="1"/>
  <c r="C387" i="1"/>
  <c r="B387" i="1"/>
  <c r="A387" i="1"/>
  <c r="F386" i="1"/>
  <c r="E386" i="1"/>
  <c r="D386" i="1"/>
  <c r="C386" i="1"/>
  <c r="B386" i="1"/>
  <c r="A386" i="1"/>
  <c r="F385" i="1"/>
  <c r="E385" i="1"/>
  <c r="D385" i="1"/>
  <c r="C385" i="1"/>
  <c r="B385" i="1"/>
  <c r="A385" i="1"/>
  <c r="G384" i="1"/>
  <c r="F384" i="1"/>
  <c r="E384" i="1"/>
  <c r="D384" i="1"/>
  <c r="C384" i="1"/>
  <c r="B384" i="1"/>
  <c r="A384" i="1"/>
  <c r="F383" i="1"/>
  <c r="E383" i="1"/>
  <c r="D383" i="1"/>
  <c r="C383" i="1"/>
  <c r="B383" i="1"/>
  <c r="A383" i="1"/>
  <c r="F382" i="1"/>
  <c r="E382" i="1"/>
  <c r="D382" i="1"/>
  <c r="C382" i="1"/>
  <c r="B382" i="1"/>
  <c r="A382" i="1"/>
  <c r="F381" i="1"/>
  <c r="E381" i="1"/>
  <c r="D381" i="1"/>
  <c r="C381" i="1"/>
  <c r="B381" i="1"/>
  <c r="A381" i="1"/>
  <c r="F380" i="1"/>
  <c r="E380" i="1"/>
  <c r="D380" i="1"/>
  <c r="C380" i="1"/>
  <c r="B380" i="1"/>
  <c r="A380" i="1"/>
  <c r="F379" i="1"/>
  <c r="E379" i="1"/>
  <c r="D379" i="1"/>
  <c r="C379" i="1"/>
  <c r="B379" i="1"/>
  <c r="A379" i="1"/>
  <c r="G378" i="1"/>
  <c r="F378" i="1"/>
  <c r="E378" i="1"/>
  <c r="D378" i="1"/>
  <c r="C378" i="1"/>
  <c r="B378" i="1"/>
  <c r="A378" i="1"/>
  <c r="F377" i="1"/>
  <c r="E377" i="1"/>
  <c r="D377" i="1"/>
  <c r="C377" i="1"/>
  <c r="B377" i="1"/>
  <c r="A377" i="1"/>
  <c r="F376" i="1"/>
  <c r="E376" i="1"/>
  <c r="D376" i="1"/>
  <c r="C376" i="1"/>
  <c r="B376" i="1"/>
  <c r="A376" i="1"/>
  <c r="F375" i="1"/>
  <c r="E375" i="1"/>
  <c r="D375" i="1"/>
  <c r="C375" i="1"/>
  <c r="B375" i="1"/>
  <c r="A375" i="1"/>
  <c r="F374" i="1"/>
  <c r="E374" i="1"/>
  <c r="D374" i="1"/>
  <c r="C374" i="1"/>
  <c r="B374" i="1"/>
  <c r="A374" i="1"/>
  <c r="F373" i="1"/>
  <c r="E373" i="1"/>
  <c r="D373" i="1"/>
  <c r="C373" i="1"/>
  <c r="B373" i="1"/>
  <c r="A373" i="1"/>
  <c r="F372" i="1"/>
  <c r="E372" i="1"/>
  <c r="D372" i="1"/>
  <c r="C372" i="1"/>
  <c r="B372" i="1"/>
  <c r="A372" i="1"/>
  <c r="F371" i="1"/>
  <c r="E371" i="1"/>
  <c r="D371" i="1"/>
  <c r="C371" i="1"/>
  <c r="B371" i="1"/>
  <c r="A371" i="1"/>
  <c r="F370" i="1"/>
  <c r="E370" i="1"/>
  <c r="D370" i="1"/>
  <c r="C370" i="1"/>
  <c r="B370" i="1"/>
  <c r="A370" i="1"/>
  <c r="F369" i="1"/>
  <c r="E369" i="1"/>
  <c r="D369" i="1"/>
  <c r="C369" i="1"/>
  <c r="B369" i="1"/>
  <c r="A369" i="1"/>
  <c r="G368" i="1"/>
  <c r="F368" i="1"/>
  <c r="E368" i="1"/>
  <c r="D368" i="1"/>
  <c r="C368" i="1"/>
  <c r="B368" i="1"/>
  <c r="A368" i="1"/>
  <c r="G367" i="1"/>
  <c r="F367" i="1"/>
  <c r="E367" i="1"/>
  <c r="D367" i="1"/>
  <c r="C367" i="1"/>
  <c r="B367" i="1"/>
  <c r="A367" i="1"/>
  <c r="F366" i="1"/>
  <c r="E366" i="1"/>
  <c r="D366" i="1"/>
  <c r="C366" i="1"/>
  <c r="B366" i="1"/>
  <c r="A366" i="1"/>
  <c r="F365" i="1"/>
  <c r="E365" i="1"/>
  <c r="D365" i="1"/>
  <c r="C365" i="1"/>
  <c r="B365" i="1"/>
  <c r="A365" i="1"/>
  <c r="F364" i="1"/>
  <c r="E364" i="1"/>
  <c r="D364" i="1"/>
  <c r="C364" i="1"/>
  <c r="B364" i="1"/>
  <c r="A364" i="1"/>
  <c r="F363" i="1"/>
  <c r="E363" i="1"/>
  <c r="D363" i="1"/>
  <c r="C363" i="1"/>
  <c r="B363" i="1"/>
  <c r="A363" i="1"/>
  <c r="F362" i="1"/>
  <c r="E362" i="1"/>
  <c r="D362" i="1"/>
  <c r="C362" i="1"/>
  <c r="B362" i="1"/>
  <c r="A362" i="1"/>
  <c r="F361" i="1"/>
  <c r="E361" i="1"/>
  <c r="D361" i="1"/>
  <c r="C361" i="1"/>
  <c r="B361" i="1"/>
  <c r="A361" i="1"/>
  <c r="F360" i="1"/>
  <c r="E360" i="1"/>
  <c r="D360" i="1"/>
  <c r="C360" i="1"/>
  <c r="B360" i="1"/>
  <c r="A360" i="1"/>
  <c r="G359" i="1"/>
  <c r="F359" i="1"/>
  <c r="E359" i="1"/>
  <c r="D359" i="1"/>
  <c r="C359" i="1"/>
  <c r="B359" i="1"/>
  <c r="A359" i="1"/>
  <c r="F358" i="1"/>
  <c r="E358" i="1"/>
  <c r="D358" i="1"/>
  <c r="C358" i="1"/>
  <c r="B358" i="1"/>
  <c r="A358" i="1"/>
  <c r="F357" i="1"/>
  <c r="E357" i="1"/>
  <c r="D357" i="1"/>
  <c r="C357" i="1"/>
  <c r="B357" i="1"/>
  <c r="A357" i="1"/>
  <c r="F356" i="1"/>
  <c r="E356" i="1"/>
  <c r="D356" i="1"/>
  <c r="C356" i="1"/>
  <c r="B356" i="1"/>
  <c r="A356" i="1"/>
  <c r="G355" i="1"/>
  <c r="C355" i="1"/>
  <c r="B355" i="1"/>
  <c r="A355" i="1"/>
  <c r="C354" i="1"/>
  <c r="B354" i="1"/>
  <c r="A354" i="1"/>
  <c r="F353" i="1"/>
  <c r="E353" i="1"/>
  <c r="D353" i="1"/>
  <c r="C353" i="1"/>
  <c r="B353" i="1"/>
  <c r="A353" i="1"/>
  <c r="F352" i="1"/>
  <c r="E352" i="1"/>
  <c r="D352" i="1"/>
  <c r="C352" i="1"/>
  <c r="B352" i="1"/>
  <c r="A352" i="1"/>
  <c r="F351" i="1"/>
  <c r="E351" i="1"/>
  <c r="D351" i="1"/>
  <c r="C351" i="1"/>
  <c r="B351" i="1"/>
  <c r="A351" i="1"/>
  <c r="F350" i="1"/>
  <c r="E350" i="1"/>
  <c r="D350" i="1"/>
  <c r="C350" i="1"/>
  <c r="B350" i="1"/>
  <c r="A350" i="1"/>
  <c r="F349" i="1"/>
  <c r="E349" i="1"/>
  <c r="D349" i="1"/>
  <c r="C349" i="1"/>
  <c r="B349" i="1"/>
  <c r="A349" i="1"/>
  <c r="F348" i="1"/>
  <c r="E348" i="1"/>
  <c r="D348" i="1"/>
  <c r="C348" i="1"/>
  <c r="B348" i="1"/>
  <c r="A348" i="1"/>
  <c r="F347" i="1"/>
  <c r="E347" i="1"/>
  <c r="D347" i="1"/>
  <c r="C347" i="1"/>
  <c r="B347" i="1"/>
  <c r="A347" i="1"/>
  <c r="F346" i="1"/>
  <c r="E346" i="1"/>
  <c r="D346" i="1"/>
  <c r="C346" i="1"/>
  <c r="B346" i="1"/>
  <c r="A346" i="1"/>
  <c r="F345" i="1"/>
  <c r="E345" i="1"/>
  <c r="D345" i="1"/>
  <c r="C345" i="1"/>
  <c r="B345" i="1"/>
  <c r="A345" i="1"/>
  <c r="F344" i="1"/>
  <c r="E344" i="1"/>
  <c r="D344" i="1"/>
  <c r="C344" i="1"/>
  <c r="B344" i="1"/>
  <c r="A344" i="1"/>
  <c r="F343" i="1"/>
  <c r="E343" i="1"/>
  <c r="D343" i="1"/>
  <c r="C343" i="1"/>
  <c r="B343" i="1"/>
  <c r="A343" i="1"/>
  <c r="F342" i="1"/>
  <c r="E342" i="1"/>
  <c r="D342" i="1"/>
  <c r="C342" i="1"/>
  <c r="B342" i="1"/>
  <c r="A342" i="1"/>
  <c r="F341" i="1"/>
  <c r="E341" i="1"/>
  <c r="D341" i="1"/>
  <c r="C341" i="1"/>
  <c r="B341" i="1"/>
  <c r="A341" i="1"/>
  <c r="F340" i="1"/>
  <c r="E340" i="1"/>
  <c r="D340" i="1"/>
  <c r="C340" i="1"/>
  <c r="B340" i="1"/>
  <c r="A340" i="1"/>
  <c r="G339" i="1"/>
  <c r="F339" i="1"/>
  <c r="E339" i="1"/>
  <c r="D339" i="1"/>
  <c r="C339" i="1"/>
  <c r="B339" i="1"/>
  <c r="A339" i="1"/>
  <c r="F338" i="1"/>
  <c r="E338" i="1"/>
  <c r="D338" i="1"/>
  <c r="C338" i="1"/>
  <c r="B338" i="1"/>
  <c r="A338" i="1"/>
  <c r="F337" i="1"/>
  <c r="E337" i="1"/>
  <c r="D337" i="1"/>
  <c r="C337" i="1"/>
  <c r="B337" i="1"/>
  <c r="A337" i="1"/>
  <c r="F336" i="1"/>
  <c r="E336" i="1"/>
  <c r="D336" i="1"/>
  <c r="C336" i="1"/>
  <c r="B336" i="1"/>
  <c r="A336" i="1"/>
  <c r="F335" i="1"/>
  <c r="E335" i="1"/>
  <c r="D335" i="1"/>
  <c r="C335" i="1"/>
  <c r="B335" i="1"/>
  <c r="A335" i="1"/>
  <c r="F334" i="1"/>
  <c r="E334" i="1"/>
  <c r="D334" i="1"/>
  <c r="C334" i="1"/>
  <c r="B334" i="1"/>
  <c r="A334" i="1"/>
  <c r="F333" i="1"/>
  <c r="E333" i="1"/>
  <c r="D333" i="1"/>
  <c r="C333" i="1"/>
  <c r="B333" i="1"/>
  <c r="A333" i="1"/>
  <c r="F332" i="1"/>
  <c r="E332" i="1"/>
  <c r="D332" i="1"/>
  <c r="C332" i="1"/>
  <c r="B332" i="1"/>
  <c r="A332" i="1"/>
  <c r="F331" i="1"/>
  <c r="E331" i="1"/>
  <c r="D331" i="1"/>
  <c r="C331" i="1"/>
  <c r="B331" i="1"/>
  <c r="A331" i="1"/>
  <c r="G330" i="1"/>
  <c r="F330" i="1"/>
  <c r="E330" i="1"/>
  <c r="D330" i="1"/>
  <c r="C330" i="1"/>
  <c r="B330" i="1"/>
  <c r="A330" i="1"/>
  <c r="G329" i="1"/>
  <c r="F329" i="1"/>
  <c r="E329" i="1"/>
  <c r="D329" i="1"/>
  <c r="C329" i="1"/>
  <c r="B329" i="1"/>
  <c r="A329" i="1"/>
  <c r="F328" i="1"/>
  <c r="E328" i="1"/>
  <c r="D328" i="1"/>
  <c r="C328" i="1"/>
  <c r="B328" i="1"/>
  <c r="A328" i="1"/>
  <c r="G327" i="1"/>
  <c r="F327" i="1"/>
  <c r="E327" i="1"/>
  <c r="D327" i="1"/>
  <c r="C327" i="1"/>
  <c r="B327" i="1"/>
  <c r="A327" i="1"/>
  <c r="F326" i="1"/>
  <c r="E326" i="1"/>
  <c r="D326" i="1"/>
  <c r="C326" i="1"/>
  <c r="B326" i="1"/>
  <c r="A326" i="1"/>
  <c r="F325" i="1"/>
  <c r="E325" i="1"/>
  <c r="D325" i="1"/>
  <c r="C325" i="1"/>
  <c r="B325" i="1"/>
  <c r="A325" i="1"/>
  <c r="G324" i="1"/>
  <c r="F324" i="1"/>
  <c r="E324" i="1"/>
  <c r="D324" i="1"/>
  <c r="C324" i="1"/>
  <c r="B324" i="1"/>
  <c r="A324" i="1"/>
  <c r="F323" i="1"/>
  <c r="E323" i="1"/>
  <c r="D323" i="1"/>
  <c r="C323" i="1"/>
  <c r="B323" i="1"/>
  <c r="A323" i="1"/>
  <c r="F322" i="1"/>
  <c r="E322" i="1"/>
  <c r="D322" i="1"/>
  <c r="C322" i="1"/>
  <c r="B322" i="1"/>
  <c r="A322" i="1"/>
  <c r="F321" i="1"/>
  <c r="E321" i="1"/>
  <c r="D321" i="1"/>
  <c r="C321" i="1"/>
  <c r="B321" i="1"/>
  <c r="A321" i="1"/>
  <c r="F320" i="1"/>
  <c r="E320" i="1"/>
  <c r="D320" i="1"/>
  <c r="C320" i="1"/>
  <c r="B320" i="1"/>
  <c r="A320" i="1"/>
  <c r="G319" i="1"/>
  <c r="F319" i="1"/>
  <c r="E319" i="1"/>
  <c r="D319" i="1"/>
  <c r="C319" i="1"/>
  <c r="B319" i="1"/>
  <c r="A319" i="1"/>
  <c r="F318" i="1"/>
  <c r="E318" i="1"/>
  <c r="D318" i="1"/>
  <c r="C318" i="1"/>
  <c r="B318" i="1"/>
  <c r="A318" i="1"/>
  <c r="G317" i="1"/>
  <c r="F317" i="1"/>
  <c r="E317" i="1"/>
  <c r="D317" i="1"/>
  <c r="C317" i="1"/>
  <c r="B317" i="1"/>
  <c r="A317" i="1"/>
  <c r="F316" i="1"/>
  <c r="E316" i="1"/>
  <c r="D316" i="1"/>
  <c r="C316" i="1"/>
  <c r="B316" i="1"/>
  <c r="A316" i="1"/>
  <c r="F315" i="1"/>
  <c r="E315" i="1"/>
  <c r="D315" i="1"/>
  <c r="C315" i="1"/>
  <c r="B315" i="1"/>
  <c r="A315" i="1"/>
  <c r="F314" i="1"/>
  <c r="E314" i="1"/>
  <c r="D314" i="1"/>
  <c r="C314" i="1"/>
  <c r="B314" i="1"/>
  <c r="A314" i="1"/>
  <c r="F313" i="1"/>
  <c r="E313" i="1"/>
  <c r="D313" i="1"/>
  <c r="C313" i="1"/>
  <c r="B313" i="1"/>
  <c r="A313" i="1"/>
  <c r="G312" i="1"/>
  <c r="F312" i="1"/>
  <c r="E312" i="1"/>
  <c r="D312" i="1"/>
  <c r="C312" i="1"/>
  <c r="B312" i="1"/>
  <c r="A312" i="1"/>
  <c r="F311" i="1"/>
  <c r="E311" i="1"/>
  <c r="D311" i="1"/>
  <c r="C311" i="1"/>
  <c r="B311" i="1"/>
  <c r="A311" i="1"/>
  <c r="F310" i="1"/>
  <c r="E310" i="1"/>
  <c r="D310" i="1"/>
  <c r="C310" i="1"/>
  <c r="B310" i="1"/>
  <c r="A310" i="1"/>
  <c r="F309" i="1"/>
  <c r="E309" i="1"/>
  <c r="D309" i="1"/>
  <c r="C309" i="1"/>
  <c r="B309" i="1"/>
  <c r="A309" i="1"/>
  <c r="G308" i="1"/>
  <c r="F308" i="1"/>
  <c r="E308" i="1"/>
  <c r="D308" i="1"/>
  <c r="C308" i="1"/>
  <c r="B308" i="1"/>
  <c r="A308" i="1"/>
  <c r="F307" i="1"/>
  <c r="E307" i="1"/>
  <c r="D307" i="1"/>
  <c r="C307" i="1"/>
  <c r="B307" i="1"/>
  <c r="A307" i="1"/>
  <c r="G306" i="1"/>
  <c r="F306" i="1"/>
  <c r="E306" i="1"/>
  <c r="D306" i="1"/>
  <c r="C306" i="1"/>
  <c r="B306" i="1"/>
  <c r="A306" i="1"/>
  <c r="G305" i="1"/>
  <c r="F305" i="1"/>
  <c r="E305" i="1"/>
  <c r="D305" i="1"/>
  <c r="C305" i="1"/>
  <c r="B305" i="1"/>
  <c r="A305" i="1"/>
  <c r="F304" i="1"/>
  <c r="E304" i="1"/>
  <c r="D304" i="1"/>
  <c r="C304" i="1"/>
  <c r="B304" i="1"/>
  <c r="A304" i="1"/>
  <c r="F303" i="1"/>
  <c r="E303" i="1"/>
  <c r="D303" i="1"/>
  <c r="C303" i="1"/>
  <c r="B303" i="1"/>
  <c r="A303" i="1"/>
  <c r="F302" i="1"/>
  <c r="E302" i="1"/>
  <c r="D302" i="1"/>
  <c r="C302" i="1"/>
  <c r="B302" i="1"/>
  <c r="A302" i="1"/>
  <c r="F301" i="1"/>
  <c r="E301" i="1"/>
  <c r="D301" i="1"/>
  <c r="C301" i="1"/>
  <c r="B301" i="1"/>
  <c r="A301" i="1"/>
  <c r="F300" i="1"/>
  <c r="E300" i="1"/>
  <c r="D300" i="1"/>
  <c r="C300" i="1"/>
  <c r="B300" i="1"/>
  <c r="A300" i="1"/>
  <c r="G299" i="1"/>
  <c r="F299" i="1"/>
  <c r="E299" i="1"/>
  <c r="D299" i="1"/>
  <c r="C299" i="1"/>
  <c r="B299" i="1"/>
  <c r="A299" i="1"/>
  <c r="F298" i="1"/>
  <c r="E298" i="1"/>
  <c r="D298" i="1"/>
  <c r="C298" i="1"/>
  <c r="B298" i="1"/>
  <c r="A298" i="1"/>
  <c r="F297" i="1"/>
  <c r="E297" i="1"/>
  <c r="D297" i="1"/>
  <c r="C297" i="1"/>
  <c r="B297" i="1"/>
  <c r="A297" i="1"/>
  <c r="F296" i="1"/>
  <c r="E296" i="1"/>
  <c r="D296" i="1"/>
  <c r="C296" i="1"/>
  <c r="B296" i="1"/>
  <c r="A296" i="1"/>
  <c r="F295" i="1"/>
  <c r="E295" i="1"/>
  <c r="D295" i="1"/>
  <c r="C295" i="1"/>
  <c r="B295" i="1"/>
  <c r="A295" i="1"/>
  <c r="F294" i="1"/>
  <c r="E294" i="1"/>
  <c r="D294" i="1"/>
  <c r="C294" i="1"/>
  <c r="B294" i="1"/>
  <c r="A294" i="1"/>
  <c r="F293" i="1"/>
  <c r="E293" i="1"/>
  <c r="D293" i="1"/>
  <c r="C293" i="1"/>
  <c r="B293" i="1"/>
  <c r="A293" i="1"/>
  <c r="G292" i="1"/>
  <c r="F292" i="1"/>
  <c r="E292" i="1"/>
  <c r="D292" i="1"/>
  <c r="C292" i="1"/>
  <c r="B292" i="1"/>
  <c r="A292" i="1"/>
  <c r="F291" i="1"/>
  <c r="E291" i="1"/>
  <c r="D291" i="1"/>
  <c r="C291" i="1"/>
  <c r="B291" i="1"/>
  <c r="A291" i="1"/>
  <c r="F290" i="1"/>
  <c r="E290" i="1"/>
  <c r="D290" i="1"/>
  <c r="C290" i="1"/>
  <c r="B290" i="1"/>
  <c r="A290" i="1"/>
  <c r="G289" i="1"/>
  <c r="F289" i="1"/>
  <c r="E289" i="1"/>
  <c r="D289" i="1"/>
  <c r="C289" i="1"/>
  <c r="B289" i="1"/>
  <c r="A289" i="1"/>
  <c r="G288" i="1"/>
  <c r="F288" i="1"/>
  <c r="E288" i="1"/>
  <c r="D288" i="1"/>
  <c r="C288" i="1"/>
  <c r="B288" i="1"/>
  <c r="A288" i="1"/>
  <c r="F287" i="1"/>
  <c r="E287" i="1"/>
  <c r="D287" i="1"/>
  <c r="C287" i="1"/>
  <c r="B287" i="1"/>
  <c r="A287" i="1"/>
  <c r="F286" i="1"/>
  <c r="E286" i="1"/>
  <c r="D286" i="1"/>
  <c r="C286" i="1"/>
  <c r="B286" i="1"/>
  <c r="A286" i="1"/>
  <c r="G285" i="1"/>
  <c r="F285" i="1"/>
  <c r="E285" i="1"/>
  <c r="D285" i="1"/>
  <c r="C285" i="1"/>
  <c r="B285" i="1"/>
  <c r="A285" i="1"/>
  <c r="F284" i="1"/>
  <c r="E284" i="1"/>
  <c r="D284" i="1"/>
  <c r="C284" i="1"/>
  <c r="B284" i="1"/>
  <c r="A284" i="1"/>
  <c r="F283" i="1"/>
  <c r="E283" i="1"/>
  <c r="D283" i="1"/>
  <c r="C283" i="1"/>
  <c r="B283" i="1"/>
  <c r="A283" i="1"/>
  <c r="G282" i="1"/>
  <c r="F282" i="1"/>
  <c r="E282" i="1"/>
  <c r="D282" i="1"/>
  <c r="C282" i="1"/>
  <c r="B282" i="1"/>
  <c r="A282" i="1"/>
  <c r="G281" i="1"/>
  <c r="F281" i="1"/>
  <c r="E281" i="1"/>
  <c r="D281" i="1"/>
  <c r="C281" i="1"/>
  <c r="B281" i="1"/>
  <c r="A281" i="1"/>
  <c r="G280" i="1"/>
  <c r="F280" i="1"/>
  <c r="E280" i="1"/>
  <c r="D280" i="1"/>
  <c r="C280" i="1"/>
  <c r="B280" i="1"/>
  <c r="A280" i="1"/>
  <c r="G279" i="1"/>
  <c r="F279" i="1"/>
  <c r="E279" i="1"/>
  <c r="D279" i="1"/>
  <c r="C279" i="1"/>
  <c r="B279" i="1"/>
  <c r="A279" i="1"/>
  <c r="G278" i="1"/>
  <c r="F278" i="1"/>
  <c r="E278" i="1"/>
  <c r="D278" i="1"/>
  <c r="C278" i="1"/>
  <c r="B278" i="1"/>
  <c r="A278" i="1"/>
  <c r="F277" i="1"/>
  <c r="E277" i="1"/>
  <c r="D277" i="1"/>
  <c r="C277" i="1"/>
  <c r="B277" i="1"/>
  <c r="A277" i="1"/>
  <c r="F276" i="1"/>
  <c r="E276" i="1"/>
  <c r="D276" i="1"/>
  <c r="C276" i="1"/>
  <c r="B276" i="1"/>
  <c r="A276" i="1"/>
  <c r="G275" i="1"/>
  <c r="F275" i="1"/>
  <c r="E275" i="1"/>
  <c r="D275" i="1"/>
  <c r="C275" i="1"/>
  <c r="B275" i="1"/>
  <c r="A275" i="1"/>
  <c r="F274" i="1"/>
  <c r="E274" i="1"/>
  <c r="D274" i="1"/>
  <c r="C274" i="1"/>
  <c r="B274" i="1"/>
  <c r="A274" i="1"/>
  <c r="F273" i="1"/>
  <c r="E273" i="1"/>
  <c r="D273" i="1"/>
  <c r="C273" i="1"/>
  <c r="B273" i="1"/>
  <c r="A273" i="1"/>
  <c r="F272" i="1"/>
  <c r="E272" i="1"/>
  <c r="D272" i="1"/>
  <c r="C272" i="1"/>
  <c r="B272" i="1"/>
  <c r="A272" i="1"/>
  <c r="F271" i="1"/>
  <c r="E271" i="1"/>
  <c r="D271" i="1"/>
  <c r="C271" i="1"/>
  <c r="B271" i="1"/>
  <c r="A271" i="1"/>
  <c r="G270" i="1"/>
  <c r="F270" i="1"/>
  <c r="E270" i="1"/>
  <c r="D270" i="1"/>
  <c r="C270" i="1"/>
  <c r="B270" i="1"/>
  <c r="A270" i="1"/>
  <c r="F269" i="1"/>
  <c r="E269" i="1"/>
  <c r="D269" i="1"/>
  <c r="C269" i="1"/>
  <c r="B269" i="1"/>
  <c r="A269" i="1"/>
  <c r="F268" i="1"/>
  <c r="E268" i="1"/>
  <c r="D268" i="1"/>
  <c r="C268" i="1"/>
  <c r="B268" i="1"/>
  <c r="A268" i="1"/>
  <c r="F267" i="1"/>
  <c r="E267" i="1"/>
  <c r="D267" i="1"/>
  <c r="C267" i="1"/>
  <c r="B267" i="1"/>
  <c r="A267" i="1"/>
  <c r="F266" i="1"/>
  <c r="E266" i="1"/>
  <c r="D266" i="1"/>
  <c r="C266" i="1"/>
  <c r="B266" i="1"/>
  <c r="A266" i="1"/>
  <c r="F265" i="1"/>
  <c r="E265" i="1"/>
  <c r="D265" i="1"/>
  <c r="C265" i="1"/>
  <c r="B265" i="1"/>
  <c r="A265" i="1"/>
  <c r="C264" i="1"/>
  <c r="B264" i="1"/>
  <c r="A264" i="1"/>
  <c r="C263" i="1"/>
  <c r="B263" i="1"/>
  <c r="A263" i="1"/>
  <c r="F262" i="1"/>
  <c r="E262" i="1"/>
  <c r="D262" i="1"/>
  <c r="C262" i="1"/>
  <c r="B262" i="1"/>
  <c r="A262" i="1"/>
  <c r="F261" i="1"/>
  <c r="E261" i="1"/>
  <c r="D261" i="1"/>
  <c r="C261" i="1"/>
  <c r="B261" i="1"/>
  <c r="A261" i="1"/>
  <c r="F260" i="1"/>
  <c r="E260" i="1"/>
  <c r="D260" i="1"/>
  <c r="C260" i="1"/>
  <c r="B260" i="1"/>
  <c r="A260" i="1"/>
  <c r="F259" i="1"/>
  <c r="E259" i="1"/>
  <c r="D259" i="1"/>
  <c r="C259" i="1"/>
  <c r="B259" i="1"/>
  <c r="A259" i="1"/>
  <c r="F258" i="1"/>
  <c r="E258" i="1"/>
  <c r="D258" i="1"/>
  <c r="C258" i="1"/>
  <c r="B258" i="1"/>
  <c r="A258" i="1"/>
  <c r="F257" i="1"/>
  <c r="E257" i="1"/>
  <c r="D257" i="1"/>
  <c r="C257" i="1"/>
  <c r="B257" i="1"/>
  <c r="A257" i="1"/>
  <c r="F256" i="1"/>
  <c r="E256" i="1"/>
  <c r="D256" i="1"/>
  <c r="C256" i="1"/>
  <c r="B256" i="1"/>
  <c r="A256" i="1"/>
  <c r="F255" i="1"/>
  <c r="E255" i="1"/>
  <c r="D255" i="1"/>
  <c r="C255" i="1"/>
  <c r="B255" i="1"/>
  <c r="A255" i="1"/>
  <c r="F254" i="1"/>
  <c r="E254" i="1"/>
  <c r="D254" i="1"/>
  <c r="C254" i="1"/>
  <c r="B254" i="1"/>
  <c r="A254" i="1"/>
  <c r="F253" i="1"/>
  <c r="E253" i="1"/>
  <c r="D253" i="1"/>
  <c r="C253" i="1"/>
  <c r="B253" i="1"/>
  <c r="A253" i="1"/>
  <c r="F252" i="1"/>
  <c r="E252" i="1"/>
  <c r="D252" i="1"/>
  <c r="C252" i="1"/>
  <c r="B252" i="1"/>
  <c r="A252" i="1"/>
  <c r="F251" i="1"/>
  <c r="E251" i="1"/>
  <c r="D251" i="1"/>
  <c r="C251" i="1"/>
  <c r="B251" i="1"/>
  <c r="A251" i="1"/>
  <c r="F250" i="1"/>
  <c r="E250" i="1"/>
  <c r="D250" i="1"/>
  <c r="C250" i="1"/>
  <c r="B250" i="1"/>
  <c r="A250" i="1"/>
  <c r="F249" i="1"/>
  <c r="E249" i="1"/>
  <c r="D249" i="1"/>
  <c r="C249" i="1"/>
  <c r="B249" i="1"/>
  <c r="A249" i="1"/>
  <c r="F248" i="1"/>
  <c r="E248" i="1"/>
  <c r="D248" i="1"/>
  <c r="C248" i="1"/>
  <c r="B248" i="1"/>
  <c r="A248" i="1"/>
  <c r="F247" i="1"/>
  <c r="E247" i="1"/>
  <c r="D247" i="1"/>
  <c r="C247" i="1"/>
  <c r="B247" i="1"/>
  <c r="A247" i="1"/>
  <c r="F246" i="1"/>
  <c r="E246" i="1"/>
  <c r="D246" i="1"/>
  <c r="C246" i="1"/>
  <c r="B246" i="1"/>
  <c r="A246" i="1"/>
  <c r="F245" i="1"/>
  <c r="E245" i="1"/>
  <c r="D245" i="1"/>
  <c r="C245" i="1"/>
  <c r="B245" i="1"/>
  <c r="A245" i="1"/>
  <c r="F244" i="1"/>
  <c r="E244" i="1"/>
  <c r="D244" i="1"/>
  <c r="C244" i="1"/>
  <c r="B244" i="1"/>
  <c r="A244" i="1"/>
  <c r="F243" i="1"/>
  <c r="E243" i="1"/>
  <c r="D243" i="1"/>
  <c r="C243" i="1"/>
  <c r="B243" i="1"/>
  <c r="A243" i="1"/>
  <c r="F242" i="1"/>
  <c r="E242" i="1"/>
  <c r="D242" i="1"/>
  <c r="C242" i="1"/>
  <c r="B242" i="1"/>
  <c r="A242" i="1"/>
  <c r="F241" i="1"/>
  <c r="E241" i="1"/>
  <c r="D241" i="1"/>
  <c r="C241" i="1"/>
  <c r="B241" i="1"/>
  <c r="A241" i="1"/>
  <c r="F240" i="1"/>
  <c r="E240" i="1"/>
  <c r="D240" i="1"/>
  <c r="C240" i="1"/>
  <c r="B240" i="1"/>
  <c r="A240" i="1"/>
  <c r="F239" i="1"/>
  <c r="E239" i="1"/>
  <c r="D239" i="1"/>
  <c r="C239" i="1"/>
  <c r="B239" i="1"/>
  <c r="A239" i="1"/>
  <c r="F238" i="1"/>
  <c r="E238" i="1"/>
  <c r="D238" i="1"/>
  <c r="C238" i="1"/>
  <c r="B238" i="1"/>
  <c r="A238" i="1"/>
  <c r="F237" i="1"/>
  <c r="E237" i="1"/>
  <c r="D237" i="1"/>
  <c r="C237" i="1"/>
  <c r="B237" i="1"/>
  <c r="A237" i="1"/>
  <c r="F236" i="1"/>
  <c r="E236" i="1"/>
  <c r="D236" i="1"/>
  <c r="C236" i="1"/>
  <c r="B236" i="1"/>
  <c r="A236" i="1"/>
  <c r="F235" i="1"/>
  <c r="E235" i="1"/>
  <c r="D235" i="1"/>
  <c r="C235" i="1"/>
  <c r="B235" i="1"/>
  <c r="A235" i="1"/>
  <c r="F234" i="1"/>
  <c r="E234" i="1"/>
  <c r="D234" i="1"/>
  <c r="C234" i="1"/>
  <c r="B234" i="1"/>
  <c r="A234" i="1"/>
  <c r="F233" i="1"/>
  <c r="E233" i="1"/>
  <c r="D233" i="1"/>
  <c r="C233" i="1"/>
  <c r="B233" i="1"/>
  <c r="A233" i="1"/>
  <c r="F232" i="1"/>
  <c r="E232" i="1"/>
  <c r="D232" i="1"/>
  <c r="C232" i="1"/>
  <c r="B232" i="1"/>
  <c r="A232" i="1"/>
  <c r="F231" i="1"/>
  <c r="E231" i="1"/>
  <c r="D231" i="1"/>
  <c r="C231" i="1"/>
  <c r="B231" i="1"/>
  <c r="A231" i="1"/>
  <c r="F230" i="1"/>
  <c r="E230" i="1"/>
  <c r="D230" i="1"/>
  <c r="C230" i="1"/>
  <c r="B230" i="1"/>
  <c r="A230" i="1"/>
  <c r="F229" i="1"/>
  <c r="E229" i="1"/>
  <c r="D229" i="1"/>
  <c r="C229" i="1"/>
  <c r="B229" i="1"/>
  <c r="A229" i="1"/>
  <c r="F228" i="1"/>
  <c r="E228" i="1"/>
  <c r="D228" i="1"/>
  <c r="C228" i="1"/>
  <c r="B228" i="1"/>
  <c r="A228" i="1"/>
  <c r="F227" i="1"/>
  <c r="E227" i="1"/>
  <c r="D227" i="1"/>
  <c r="C227" i="1"/>
  <c r="B227" i="1"/>
  <c r="A227" i="1"/>
  <c r="F226" i="1"/>
  <c r="E226" i="1"/>
  <c r="D226" i="1"/>
  <c r="C226" i="1"/>
  <c r="B226" i="1"/>
  <c r="A226" i="1"/>
  <c r="F225" i="1"/>
  <c r="E225" i="1"/>
  <c r="D225" i="1"/>
  <c r="C225" i="1"/>
  <c r="B225" i="1"/>
  <c r="A225" i="1"/>
  <c r="F224" i="1"/>
  <c r="E224" i="1"/>
  <c r="D224" i="1"/>
  <c r="C224" i="1"/>
  <c r="B224" i="1"/>
  <c r="A224" i="1"/>
  <c r="F223" i="1"/>
  <c r="E223" i="1"/>
  <c r="D223" i="1"/>
  <c r="C223" i="1"/>
  <c r="B223" i="1"/>
  <c r="A223" i="1"/>
  <c r="F222" i="1"/>
  <c r="E222" i="1"/>
  <c r="D222" i="1"/>
  <c r="C222" i="1"/>
  <c r="B222" i="1"/>
  <c r="A222" i="1"/>
  <c r="F221" i="1"/>
  <c r="E221" i="1"/>
  <c r="D221" i="1"/>
  <c r="C221" i="1"/>
  <c r="B221" i="1"/>
  <c r="A221" i="1"/>
  <c r="F220" i="1"/>
  <c r="E220" i="1"/>
  <c r="D220" i="1"/>
  <c r="C220" i="1"/>
  <c r="B220" i="1"/>
  <c r="A220" i="1"/>
  <c r="F219" i="1"/>
  <c r="E219" i="1"/>
  <c r="D219" i="1"/>
  <c r="C219" i="1"/>
  <c r="B219" i="1"/>
  <c r="A219" i="1"/>
  <c r="F218" i="1"/>
  <c r="E218" i="1"/>
  <c r="D218" i="1"/>
  <c r="C218" i="1"/>
  <c r="B218" i="1"/>
  <c r="A218" i="1"/>
  <c r="F217" i="1"/>
  <c r="E217" i="1"/>
  <c r="D217" i="1"/>
  <c r="C217" i="1"/>
  <c r="B217" i="1"/>
  <c r="A217" i="1"/>
  <c r="F216" i="1"/>
  <c r="E216" i="1"/>
  <c r="D216" i="1"/>
  <c r="C216" i="1"/>
  <c r="B216" i="1"/>
  <c r="A216" i="1"/>
  <c r="F215" i="1"/>
  <c r="E215" i="1"/>
  <c r="D215" i="1"/>
  <c r="C215" i="1"/>
  <c r="B215" i="1"/>
  <c r="A215" i="1"/>
  <c r="F214" i="1"/>
  <c r="E214" i="1"/>
  <c r="D214" i="1"/>
  <c r="C214" i="1"/>
  <c r="B214" i="1"/>
  <c r="A214" i="1"/>
  <c r="F213" i="1"/>
  <c r="E213" i="1"/>
  <c r="D213" i="1"/>
  <c r="C213" i="1"/>
  <c r="B213" i="1"/>
  <c r="A213" i="1"/>
  <c r="F212" i="1"/>
  <c r="E212" i="1"/>
  <c r="D212" i="1"/>
  <c r="C212" i="1"/>
  <c r="B212" i="1"/>
  <c r="A212" i="1"/>
  <c r="F211" i="1"/>
  <c r="E211" i="1"/>
  <c r="D211" i="1"/>
  <c r="C211" i="1"/>
  <c r="B211" i="1"/>
  <c r="A211" i="1"/>
  <c r="F210" i="1"/>
  <c r="E210" i="1"/>
  <c r="D210" i="1"/>
  <c r="C210" i="1"/>
  <c r="B210" i="1"/>
  <c r="A210" i="1"/>
  <c r="F209" i="1"/>
  <c r="E209" i="1"/>
  <c r="D209" i="1"/>
  <c r="C209" i="1"/>
  <c r="B209" i="1"/>
  <c r="A209" i="1"/>
  <c r="F208" i="1"/>
  <c r="E208" i="1"/>
  <c r="D208" i="1"/>
  <c r="C208" i="1"/>
  <c r="B208" i="1"/>
  <c r="A208" i="1"/>
  <c r="F207" i="1"/>
  <c r="E207" i="1"/>
  <c r="D207" i="1"/>
  <c r="C207" i="1"/>
  <c r="B207" i="1"/>
  <c r="A207" i="1"/>
  <c r="F206" i="1"/>
  <c r="E206" i="1"/>
  <c r="D206" i="1"/>
  <c r="C206" i="1"/>
  <c r="B206" i="1"/>
  <c r="A206" i="1"/>
  <c r="F205" i="1"/>
  <c r="E205" i="1"/>
  <c r="D205" i="1"/>
  <c r="C205" i="1"/>
  <c r="B205" i="1"/>
  <c r="A205" i="1"/>
  <c r="F204" i="1"/>
  <c r="E204" i="1"/>
  <c r="D204" i="1"/>
  <c r="C204" i="1"/>
  <c r="B204" i="1"/>
  <c r="A204" i="1"/>
  <c r="F203" i="1"/>
  <c r="E203" i="1"/>
  <c r="D203" i="1"/>
  <c r="C203" i="1"/>
  <c r="B203" i="1"/>
  <c r="A203" i="1"/>
  <c r="F202" i="1"/>
  <c r="E202" i="1"/>
  <c r="D202" i="1"/>
  <c r="C202" i="1"/>
  <c r="B202" i="1"/>
  <c r="A202" i="1"/>
  <c r="F201" i="1"/>
  <c r="E201" i="1"/>
  <c r="D201" i="1"/>
  <c r="C201" i="1"/>
  <c r="B201" i="1"/>
  <c r="A201" i="1"/>
  <c r="F200" i="1"/>
  <c r="E200" i="1"/>
  <c r="D200" i="1"/>
  <c r="C200" i="1"/>
  <c r="B200" i="1"/>
  <c r="A200" i="1"/>
  <c r="F199" i="1"/>
  <c r="E199" i="1"/>
  <c r="D199" i="1"/>
  <c r="C199" i="1"/>
  <c r="B199" i="1"/>
  <c r="A199" i="1"/>
  <c r="F198" i="1"/>
  <c r="E198" i="1"/>
  <c r="D198" i="1"/>
  <c r="C198" i="1"/>
  <c r="B198" i="1"/>
  <c r="A198" i="1"/>
  <c r="F197" i="1"/>
  <c r="E197" i="1"/>
  <c r="D197" i="1"/>
  <c r="C197" i="1"/>
  <c r="B197" i="1"/>
  <c r="A197" i="1"/>
  <c r="F196" i="1"/>
  <c r="E196" i="1"/>
  <c r="D196" i="1"/>
  <c r="C196" i="1"/>
  <c r="B196" i="1"/>
  <c r="A196" i="1"/>
  <c r="F195" i="1"/>
  <c r="E195" i="1"/>
  <c r="D195" i="1"/>
  <c r="C195" i="1"/>
  <c r="B195" i="1"/>
  <c r="A195" i="1"/>
  <c r="F194" i="1"/>
  <c r="E194" i="1"/>
  <c r="D194" i="1"/>
  <c r="C194" i="1"/>
  <c r="B194" i="1"/>
  <c r="A194" i="1"/>
  <c r="F193" i="1"/>
  <c r="E193" i="1"/>
  <c r="D193" i="1"/>
  <c r="C193" i="1"/>
  <c r="B193" i="1"/>
  <c r="A193" i="1"/>
  <c r="F192" i="1"/>
  <c r="E192" i="1"/>
  <c r="D192" i="1"/>
  <c r="C192" i="1"/>
  <c r="B192" i="1"/>
  <c r="A192" i="1"/>
  <c r="F191" i="1"/>
  <c r="E191" i="1"/>
  <c r="D191" i="1"/>
  <c r="C191" i="1"/>
  <c r="B191" i="1"/>
  <c r="A191" i="1"/>
  <c r="F190" i="1"/>
  <c r="E190" i="1"/>
  <c r="D190" i="1"/>
  <c r="C190" i="1"/>
  <c r="B190" i="1"/>
  <c r="A190" i="1"/>
  <c r="F189" i="1"/>
  <c r="E189" i="1"/>
  <c r="D189" i="1"/>
  <c r="C189" i="1"/>
  <c r="B189" i="1"/>
  <c r="A189" i="1"/>
  <c r="C188" i="1"/>
  <c r="B188" i="1"/>
  <c r="A188" i="1"/>
  <c r="C187" i="1"/>
  <c r="B187" i="1"/>
  <c r="A187" i="1"/>
  <c r="C186" i="1"/>
  <c r="B186" i="1"/>
  <c r="A186" i="1"/>
  <c r="C185" i="1"/>
  <c r="B185" i="1"/>
  <c r="A185" i="1"/>
  <c r="E184" i="1"/>
  <c r="D184" i="1"/>
  <c r="C184" i="1"/>
  <c r="B184" i="1"/>
  <c r="A184" i="1"/>
  <c r="C183" i="1"/>
  <c r="B183" i="1"/>
  <c r="A183" i="1"/>
  <c r="C182" i="1"/>
  <c r="B182" i="1"/>
  <c r="A182" i="1"/>
  <c r="C181" i="1"/>
  <c r="B181" i="1"/>
  <c r="A181" i="1"/>
  <c r="F180" i="1"/>
  <c r="E180" i="1"/>
  <c r="D180" i="1"/>
  <c r="C180" i="1"/>
  <c r="B180" i="1"/>
  <c r="A180" i="1"/>
  <c r="F179" i="1"/>
  <c r="E179" i="1"/>
  <c r="D179" i="1"/>
  <c r="C179" i="1"/>
  <c r="B179" i="1"/>
  <c r="A179" i="1"/>
  <c r="F178" i="1"/>
  <c r="E178" i="1"/>
  <c r="D178" i="1"/>
  <c r="C178" i="1"/>
  <c r="B178" i="1"/>
  <c r="A178" i="1"/>
  <c r="F177" i="1"/>
  <c r="E177" i="1"/>
  <c r="D177" i="1"/>
  <c r="C177" i="1"/>
  <c r="B177" i="1"/>
  <c r="A177" i="1"/>
  <c r="F176" i="1"/>
  <c r="E176" i="1"/>
  <c r="D176" i="1"/>
  <c r="C176" i="1"/>
  <c r="B176" i="1"/>
  <c r="A176" i="1"/>
  <c r="F175" i="1"/>
  <c r="E175" i="1"/>
  <c r="D175" i="1"/>
  <c r="C175" i="1"/>
  <c r="B175" i="1"/>
  <c r="A175" i="1"/>
  <c r="F174" i="1"/>
  <c r="E174" i="1"/>
  <c r="D174" i="1"/>
  <c r="C174" i="1"/>
  <c r="B174" i="1"/>
  <c r="A174" i="1"/>
  <c r="F173" i="1"/>
  <c r="E173" i="1"/>
  <c r="D173" i="1"/>
  <c r="C173" i="1"/>
  <c r="B173" i="1"/>
  <c r="A173" i="1"/>
  <c r="F172" i="1"/>
  <c r="E172" i="1"/>
  <c r="D172" i="1"/>
  <c r="C172" i="1"/>
  <c r="B172" i="1"/>
  <c r="A172" i="1"/>
  <c r="F171" i="1"/>
  <c r="E171" i="1"/>
  <c r="D171" i="1"/>
  <c r="C171" i="1"/>
  <c r="B171" i="1"/>
  <c r="A171" i="1"/>
  <c r="F170" i="1"/>
  <c r="E170" i="1"/>
  <c r="D170" i="1"/>
  <c r="C170" i="1"/>
  <c r="B170" i="1"/>
  <c r="A170" i="1"/>
  <c r="F169" i="1"/>
  <c r="E169" i="1"/>
  <c r="D169" i="1"/>
  <c r="C169" i="1"/>
  <c r="B169" i="1"/>
  <c r="A169" i="1"/>
  <c r="F168" i="1"/>
  <c r="E168" i="1"/>
  <c r="D168" i="1"/>
  <c r="C168" i="1"/>
  <c r="B168" i="1"/>
  <c r="A168" i="1"/>
  <c r="F167" i="1"/>
  <c r="E167" i="1"/>
  <c r="D167" i="1"/>
  <c r="C167" i="1"/>
  <c r="B167" i="1"/>
  <c r="A167" i="1"/>
  <c r="F166" i="1"/>
  <c r="E166" i="1"/>
  <c r="D166" i="1"/>
  <c r="C166" i="1"/>
  <c r="B166" i="1"/>
  <c r="A166" i="1"/>
  <c r="G165" i="1"/>
  <c r="F165" i="1"/>
  <c r="E165" i="1"/>
  <c r="D165" i="1"/>
  <c r="C165" i="1"/>
  <c r="B165" i="1"/>
  <c r="A165" i="1"/>
  <c r="G164" i="1"/>
  <c r="F164" i="1"/>
  <c r="E164" i="1"/>
  <c r="D164" i="1"/>
  <c r="C164" i="1"/>
  <c r="B164" i="1"/>
  <c r="A164" i="1"/>
  <c r="F163" i="1"/>
  <c r="E163" i="1"/>
  <c r="D163" i="1"/>
  <c r="C163" i="1"/>
  <c r="B163" i="1"/>
  <c r="A163" i="1"/>
  <c r="F162" i="1"/>
  <c r="E162" i="1"/>
  <c r="D162" i="1"/>
  <c r="C162" i="1"/>
  <c r="B162" i="1"/>
  <c r="A162" i="1"/>
  <c r="F161" i="1"/>
  <c r="E161" i="1"/>
  <c r="D161" i="1"/>
  <c r="C161" i="1"/>
  <c r="B161" i="1"/>
  <c r="A161" i="1"/>
  <c r="E160" i="1"/>
  <c r="D160" i="1"/>
  <c r="C160" i="1"/>
  <c r="B160" i="1"/>
  <c r="A160" i="1"/>
  <c r="F159" i="1"/>
  <c r="E159" i="1"/>
  <c r="D159" i="1"/>
  <c r="C159" i="1"/>
  <c r="B159" i="1"/>
  <c r="A159" i="1"/>
  <c r="F158" i="1"/>
  <c r="E158" i="1"/>
  <c r="D158" i="1"/>
  <c r="C158" i="1"/>
  <c r="B158" i="1"/>
  <c r="A158" i="1"/>
  <c r="F157" i="1"/>
  <c r="E157" i="1"/>
  <c r="D157" i="1"/>
  <c r="C157" i="1"/>
  <c r="B157" i="1"/>
  <c r="A157" i="1"/>
  <c r="F156" i="1"/>
  <c r="E156" i="1"/>
  <c r="D156" i="1"/>
  <c r="C156" i="1"/>
  <c r="B156" i="1"/>
  <c r="A156" i="1"/>
  <c r="F155" i="1"/>
  <c r="E155" i="1"/>
  <c r="D155" i="1"/>
  <c r="C155" i="1"/>
  <c r="B155" i="1"/>
  <c r="A155" i="1"/>
  <c r="F154" i="1"/>
  <c r="E154" i="1"/>
  <c r="D154" i="1"/>
  <c r="C154" i="1"/>
  <c r="B154" i="1"/>
  <c r="A154" i="1"/>
  <c r="F153" i="1"/>
  <c r="E153" i="1"/>
  <c r="D153" i="1"/>
  <c r="C153" i="1"/>
  <c r="B153" i="1"/>
  <c r="A153" i="1"/>
  <c r="F152" i="1"/>
  <c r="E152" i="1"/>
  <c r="D152" i="1"/>
  <c r="C152" i="1"/>
  <c r="B152" i="1"/>
  <c r="A152" i="1"/>
  <c r="F151" i="1"/>
  <c r="E151" i="1"/>
  <c r="D151" i="1"/>
  <c r="C151" i="1"/>
  <c r="B151" i="1"/>
  <c r="A151" i="1"/>
  <c r="F150" i="1"/>
  <c r="E150" i="1"/>
  <c r="D150" i="1"/>
  <c r="C150" i="1"/>
  <c r="B150" i="1"/>
  <c r="A150" i="1"/>
  <c r="F149" i="1"/>
  <c r="E149" i="1"/>
  <c r="D149" i="1"/>
  <c r="C149" i="1"/>
  <c r="B149" i="1"/>
  <c r="A149" i="1"/>
  <c r="F148" i="1"/>
  <c r="E148" i="1"/>
  <c r="D148" i="1"/>
  <c r="C148" i="1"/>
  <c r="B148" i="1"/>
  <c r="A148" i="1"/>
  <c r="F147" i="1"/>
  <c r="E147" i="1"/>
  <c r="D147" i="1"/>
  <c r="C147" i="1"/>
  <c r="B147" i="1"/>
  <c r="A147" i="1"/>
  <c r="F146" i="1"/>
  <c r="E146" i="1"/>
  <c r="D146" i="1"/>
  <c r="C146" i="1"/>
  <c r="B146" i="1"/>
  <c r="A146" i="1"/>
  <c r="F145" i="1"/>
  <c r="E145" i="1"/>
  <c r="D145" i="1"/>
  <c r="C145" i="1"/>
  <c r="B145" i="1"/>
  <c r="A145" i="1"/>
  <c r="F144" i="1"/>
  <c r="E144" i="1"/>
  <c r="D144" i="1"/>
  <c r="C144" i="1"/>
  <c r="B144" i="1"/>
  <c r="A144" i="1"/>
  <c r="F143" i="1"/>
  <c r="E143" i="1"/>
  <c r="D143" i="1"/>
  <c r="C143" i="1"/>
  <c r="B143" i="1"/>
  <c r="A143" i="1"/>
  <c r="F142" i="1"/>
  <c r="E142" i="1"/>
  <c r="D142" i="1"/>
  <c r="C142" i="1"/>
  <c r="B142" i="1"/>
  <c r="A142" i="1"/>
  <c r="F141" i="1"/>
  <c r="E141" i="1"/>
  <c r="D141" i="1"/>
  <c r="C141" i="1"/>
  <c r="B141" i="1"/>
  <c r="A141" i="1"/>
  <c r="F140" i="1"/>
  <c r="E140" i="1"/>
  <c r="D140" i="1"/>
  <c r="C140" i="1"/>
  <c r="B140" i="1"/>
  <c r="A140" i="1"/>
  <c r="F139" i="1"/>
  <c r="E139" i="1"/>
  <c r="D139" i="1"/>
  <c r="C139" i="1"/>
  <c r="B139" i="1"/>
  <c r="A139" i="1"/>
  <c r="F138" i="1"/>
  <c r="E138" i="1"/>
  <c r="D138" i="1"/>
  <c r="C138" i="1"/>
  <c r="B138" i="1"/>
  <c r="A138" i="1"/>
  <c r="F137" i="1"/>
  <c r="E137" i="1"/>
  <c r="D137" i="1"/>
  <c r="C137" i="1"/>
  <c r="B137" i="1"/>
  <c r="A137" i="1"/>
  <c r="G136" i="1"/>
  <c r="F136" i="1"/>
  <c r="E136" i="1"/>
  <c r="D136" i="1"/>
  <c r="C136" i="1"/>
  <c r="B136" i="1"/>
  <c r="A136" i="1"/>
  <c r="G135" i="1"/>
  <c r="F135" i="1"/>
  <c r="E135" i="1"/>
  <c r="D135" i="1"/>
  <c r="C135" i="1"/>
  <c r="B135" i="1"/>
  <c r="A135" i="1"/>
  <c r="G134" i="1"/>
  <c r="F134" i="1"/>
  <c r="E134" i="1"/>
  <c r="D134" i="1"/>
  <c r="C134" i="1"/>
  <c r="B134" i="1"/>
  <c r="A134" i="1"/>
  <c r="G133" i="1"/>
  <c r="F133" i="1"/>
  <c r="E133" i="1"/>
  <c r="D133" i="1"/>
  <c r="C133" i="1"/>
  <c r="B133" i="1"/>
  <c r="A133" i="1"/>
  <c r="F132" i="1"/>
  <c r="E132" i="1"/>
  <c r="D132" i="1"/>
  <c r="C132" i="1"/>
  <c r="B132" i="1"/>
  <c r="A132" i="1"/>
  <c r="F131" i="1"/>
  <c r="E131" i="1"/>
  <c r="D131" i="1"/>
  <c r="C131" i="1"/>
  <c r="B131" i="1"/>
  <c r="A131" i="1"/>
  <c r="F130" i="1"/>
  <c r="E130" i="1"/>
  <c r="D130" i="1"/>
  <c r="C130" i="1"/>
  <c r="B130" i="1"/>
  <c r="A130" i="1"/>
  <c r="F129" i="1"/>
  <c r="E129" i="1"/>
  <c r="D129" i="1"/>
  <c r="C129" i="1"/>
  <c r="B129" i="1"/>
  <c r="A129" i="1"/>
  <c r="F128" i="1"/>
  <c r="E128" i="1"/>
  <c r="D128" i="1"/>
  <c r="C128" i="1"/>
  <c r="B128" i="1"/>
  <c r="A128" i="1"/>
  <c r="F127" i="1"/>
  <c r="E127" i="1"/>
  <c r="D127" i="1"/>
  <c r="C127" i="1"/>
  <c r="B127" i="1"/>
  <c r="A127" i="1"/>
  <c r="F126" i="1"/>
  <c r="E126" i="1"/>
  <c r="D126" i="1"/>
  <c r="C126" i="1"/>
  <c r="B126" i="1"/>
  <c r="A126" i="1"/>
  <c r="F125" i="1"/>
  <c r="E125" i="1"/>
  <c r="D125" i="1"/>
  <c r="C125" i="1"/>
  <c r="B125" i="1"/>
  <c r="A125" i="1"/>
  <c r="F124" i="1"/>
  <c r="E124" i="1"/>
  <c r="D124" i="1"/>
  <c r="C124" i="1"/>
  <c r="B124" i="1"/>
  <c r="A124" i="1"/>
  <c r="F123" i="1"/>
  <c r="E123" i="1"/>
  <c r="D123" i="1"/>
  <c r="C123" i="1"/>
  <c r="B123" i="1"/>
  <c r="A123" i="1"/>
  <c r="F122" i="1"/>
  <c r="E122" i="1"/>
  <c r="D122" i="1"/>
  <c r="C122" i="1"/>
  <c r="B122" i="1"/>
  <c r="A122" i="1"/>
  <c r="F121" i="1"/>
  <c r="E121" i="1"/>
  <c r="D121" i="1"/>
  <c r="C121" i="1"/>
  <c r="B121" i="1"/>
  <c r="A121" i="1"/>
  <c r="C120" i="1"/>
  <c r="B120" i="1"/>
  <c r="A120" i="1"/>
  <c r="F119" i="1"/>
  <c r="E119" i="1"/>
  <c r="D119" i="1"/>
  <c r="C119" i="1"/>
  <c r="B119" i="1"/>
  <c r="A119" i="1"/>
  <c r="F118" i="1"/>
  <c r="E118" i="1"/>
  <c r="D118" i="1"/>
  <c r="C118" i="1"/>
  <c r="B118" i="1"/>
  <c r="A118" i="1"/>
  <c r="F117" i="1"/>
  <c r="E117" i="1"/>
  <c r="D117" i="1"/>
  <c r="C117" i="1"/>
  <c r="B117" i="1"/>
  <c r="A117" i="1"/>
  <c r="F116" i="1"/>
  <c r="E116" i="1"/>
  <c r="D116" i="1"/>
  <c r="C116" i="1"/>
  <c r="B116" i="1"/>
  <c r="A116" i="1"/>
  <c r="F115" i="1"/>
  <c r="E115" i="1"/>
  <c r="D115" i="1"/>
  <c r="C115" i="1"/>
  <c r="B115" i="1"/>
  <c r="A115" i="1"/>
  <c r="F114" i="1"/>
  <c r="E114" i="1"/>
  <c r="D114" i="1"/>
  <c r="C114" i="1"/>
  <c r="B114" i="1"/>
  <c r="A114" i="1"/>
  <c r="F113" i="1"/>
  <c r="E113" i="1"/>
  <c r="D113" i="1"/>
  <c r="C113" i="1"/>
  <c r="B113" i="1"/>
  <c r="A113" i="1"/>
  <c r="F112" i="1"/>
  <c r="E112" i="1"/>
  <c r="D112" i="1"/>
  <c r="C112" i="1"/>
  <c r="B112" i="1"/>
  <c r="A112" i="1"/>
  <c r="F111" i="1"/>
  <c r="E111" i="1"/>
  <c r="D111" i="1"/>
  <c r="C111" i="1"/>
  <c r="B111" i="1"/>
  <c r="A111" i="1"/>
  <c r="F110" i="1"/>
  <c r="E110" i="1"/>
  <c r="D110" i="1"/>
  <c r="C110" i="1"/>
  <c r="B110" i="1"/>
  <c r="A110" i="1"/>
  <c r="F109" i="1"/>
  <c r="E109" i="1"/>
  <c r="D109" i="1"/>
  <c r="C109" i="1"/>
  <c r="B109" i="1"/>
  <c r="A109" i="1"/>
  <c r="F108" i="1"/>
  <c r="E108" i="1"/>
  <c r="D108" i="1"/>
  <c r="C108" i="1"/>
  <c r="B108" i="1"/>
  <c r="A108" i="1"/>
  <c r="F107" i="1"/>
  <c r="E107" i="1"/>
  <c r="D107" i="1"/>
  <c r="C107" i="1"/>
  <c r="B107" i="1"/>
  <c r="A107" i="1"/>
  <c r="F106" i="1"/>
  <c r="E106" i="1"/>
  <c r="D106" i="1"/>
  <c r="C106" i="1"/>
  <c r="B106" i="1"/>
  <c r="A106" i="1"/>
  <c r="F105" i="1"/>
  <c r="E105" i="1"/>
  <c r="D105" i="1"/>
  <c r="C105" i="1"/>
  <c r="B105" i="1"/>
  <c r="A105" i="1"/>
  <c r="F104" i="1"/>
  <c r="E104" i="1"/>
  <c r="D104" i="1"/>
  <c r="C104" i="1"/>
  <c r="B104" i="1"/>
  <c r="A104" i="1"/>
  <c r="G103" i="1"/>
  <c r="F103" i="1"/>
  <c r="E103" i="1"/>
  <c r="D103" i="1"/>
  <c r="C103" i="1"/>
  <c r="B103" i="1"/>
  <c r="A103" i="1"/>
  <c r="G102" i="1"/>
  <c r="F102" i="1"/>
  <c r="E102" i="1"/>
  <c r="D102" i="1"/>
  <c r="C102" i="1"/>
  <c r="B102" i="1"/>
  <c r="A102" i="1"/>
  <c r="G101" i="1"/>
  <c r="F101" i="1"/>
  <c r="E101" i="1"/>
  <c r="D101" i="1"/>
  <c r="C101" i="1"/>
  <c r="B101" i="1"/>
  <c r="A101" i="1"/>
  <c r="G100" i="1"/>
  <c r="F100" i="1"/>
  <c r="E100" i="1"/>
  <c r="D100" i="1"/>
  <c r="C100" i="1"/>
  <c r="B100" i="1"/>
  <c r="A100" i="1"/>
  <c r="G99" i="1"/>
  <c r="F99" i="1"/>
  <c r="E99" i="1"/>
  <c r="D99" i="1"/>
  <c r="C99" i="1"/>
  <c r="B99" i="1"/>
  <c r="A99" i="1"/>
  <c r="G98" i="1"/>
  <c r="F98" i="1"/>
  <c r="E98" i="1"/>
  <c r="D98" i="1"/>
  <c r="C98" i="1"/>
  <c r="B98" i="1"/>
  <c r="A98" i="1"/>
  <c r="G97" i="1"/>
  <c r="F97" i="1"/>
  <c r="E97" i="1"/>
  <c r="D97" i="1"/>
  <c r="C97" i="1"/>
  <c r="B97" i="1"/>
  <c r="A97" i="1"/>
  <c r="G96" i="1"/>
  <c r="F96" i="1"/>
  <c r="E96" i="1"/>
  <c r="D96" i="1"/>
  <c r="C96" i="1"/>
  <c r="B96" i="1"/>
  <c r="A96" i="1"/>
  <c r="G95" i="1"/>
  <c r="F95" i="1"/>
  <c r="E95" i="1"/>
  <c r="D95" i="1"/>
  <c r="C95" i="1"/>
  <c r="B95" i="1"/>
  <c r="A95" i="1"/>
  <c r="G94" i="1"/>
  <c r="F94" i="1"/>
  <c r="E94" i="1"/>
  <c r="D94" i="1"/>
  <c r="C94" i="1"/>
  <c r="B94" i="1"/>
  <c r="A94" i="1"/>
  <c r="G93" i="1"/>
  <c r="F93" i="1"/>
  <c r="E93" i="1"/>
  <c r="D93" i="1"/>
  <c r="C93" i="1"/>
  <c r="B93" i="1"/>
  <c r="A93" i="1"/>
  <c r="F92" i="1"/>
  <c r="E92" i="1"/>
  <c r="D92" i="1"/>
  <c r="C92" i="1"/>
  <c r="B92" i="1"/>
  <c r="A92" i="1"/>
  <c r="F91" i="1"/>
  <c r="E91" i="1"/>
  <c r="D91" i="1"/>
  <c r="C91" i="1"/>
  <c r="B91" i="1"/>
  <c r="A91" i="1"/>
  <c r="F90" i="1"/>
  <c r="E90" i="1"/>
  <c r="D90" i="1"/>
  <c r="C90" i="1"/>
  <c r="B90" i="1"/>
  <c r="A90" i="1"/>
  <c r="F89" i="1"/>
  <c r="E89" i="1"/>
  <c r="D89" i="1"/>
  <c r="C89" i="1"/>
  <c r="B89" i="1"/>
  <c r="A89" i="1"/>
  <c r="F88" i="1"/>
  <c r="E88" i="1"/>
  <c r="D88" i="1"/>
  <c r="C88" i="1"/>
  <c r="B88" i="1"/>
  <c r="A88" i="1"/>
  <c r="F87" i="1"/>
  <c r="E87" i="1"/>
  <c r="D87" i="1"/>
  <c r="C87" i="1"/>
  <c r="B87" i="1"/>
  <c r="A87" i="1"/>
  <c r="F86" i="1"/>
  <c r="E86" i="1"/>
  <c r="D86" i="1"/>
  <c r="C86" i="1"/>
  <c r="B86" i="1"/>
  <c r="A86" i="1"/>
  <c r="F85" i="1"/>
  <c r="E85" i="1"/>
  <c r="D85" i="1"/>
  <c r="C85" i="1"/>
  <c r="B85" i="1"/>
  <c r="A85" i="1"/>
  <c r="F84" i="1"/>
  <c r="E84" i="1"/>
  <c r="D84" i="1"/>
  <c r="C84" i="1"/>
  <c r="B84" i="1"/>
  <c r="A84" i="1"/>
  <c r="F83" i="1"/>
  <c r="E83" i="1"/>
  <c r="D83" i="1"/>
  <c r="C83" i="1"/>
  <c r="B83" i="1"/>
  <c r="A83" i="1"/>
  <c r="F82" i="1"/>
  <c r="E82" i="1"/>
  <c r="D82" i="1"/>
  <c r="C82" i="1"/>
  <c r="B82" i="1"/>
  <c r="A82" i="1"/>
  <c r="F81" i="1"/>
  <c r="E81" i="1"/>
  <c r="D81" i="1"/>
  <c r="C81" i="1"/>
  <c r="B81" i="1"/>
  <c r="A81" i="1"/>
  <c r="F80" i="1"/>
  <c r="E80" i="1"/>
  <c r="D80" i="1"/>
  <c r="C80" i="1"/>
  <c r="B80" i="1"/>
  <c r="A80" i="1"/>
  <c r="F79" i="1"/>
  <c r="E79" i="1"/>
  <c r="D79" i="1"/>
  <c r="C79" i="1"/>
  <c r="B79" i="1"/>
  <c r="A79" i="1"/>
  <c r="F78" i="1"/>
  <c r="E78" i="1"/>
  <c r="D78" i="1"/>
  <c r="C78" i="1"/>
  <c r="B78" i="1"/>
  <c r="A78" i="1"/>
  <c r="F77" i="1"/>
  <c r="E77" i="1"/>
  <c r="D77" i="1"/>
  <c r="C77" i="1"/>
  <c r="B77" i="1"/>
  <c r="A77" i="1"/>
  <c r="F76" i="1"/>
  <c r="E76" i="1"/>
  <c r="D76" i="1"/>
  <c r="C76" i="1"/>
  <c r="B76" i="1"/>
  <c r="A76" i="1"/>
  <c r="F75" i="1"/>
  <c r="E75" i="1"/>
  <c r="D75" i="1"/>
  <c r="C75" i="1"/>
  <c r="B75" i="1"/>
  <c r="A75" i="1"/>
  <c r="F74" i="1"/>
  <c r="E74" i="1"/>
  <c r="D74" i="1"/>
  <c r="C74" i="1"/>
  <c r="B74" i="1"/>
  <c r="A74" i="1"/>
  <c r="F73" i="1"/>
  <c r="E73" i="1"/>
  <c r="D73" i="1"/>
  <c r="C73" i="1"/>
  <c r="B73" i="1"/>
  <c r="A73" i="1"/>
  <c r="F72" i="1"/>
  <c r="E72" i="1"/>
  <c r="D72" i="1"/>
  <c r="C72" i="1"/>
  <c r="B72" i="1"/>
  <c r="A72" i="1"/>
  <c r="F71" i="1"/>
  <c r="E71" i="1"/>
  <c r="D71" i="1"/>
  <c r="C71" i="1"/>
  <c r="B71" i="1"/>
  <c r="A71" i="1"/>
  <c r="F70" i="1"/>
  <c r="E70" i="1"/>
  <c r="D70" i="1"/>
  <c r="C70" i="1"/>
  <c r="B70" i="1"/>
  <c r="A70" i="1"/>
  <c r="F69" i="1"/>
  <c r="E69" i="1"/>
  <c r="D69" i="1"/>
  <c r="C69" i="1"/>
  <c r="B69" i="1"/>
  <c r="A69" i="1"/>
  <c r="F68" i="1"/>
  <c r="E68" i="1"/>
  <c r="D68" i="1"/>
  <c r="C68" i="1"/>
  <c r="B68" i="1"/>
  <c r="A68" i="1"/>
  <c r="F67" i="1"/>
  <c r="E67" i="1"/>
  <c r="D67" i="1"/>
  <c r="C67" i="1"/>
  <c r="B67" i="1"/>
  <c r="A67" i="1"/>
  <c r="F66" i="1"/>
  <c r="E66" i="1"/>
  <c r="D66" i="1"/>
  <c r="C66" i="1"/>
  <c r="B66" i="1"/>
  <c r="A66" i="1"/>
  <c r="F65" i="1"/>
  <c r="E65" i="1"/>
  <c r="D65" i="1"/>
  <c r="C65" i="1"/>
  <c r="B65" i="1"/>
  <c r="A65" i="1"/>
  <c r="F64" i="1"/>
  <c r="E64" i="1"/>
  <c r="D64" i="1"/>
  <c r="C64" i="1"/>
  <c r="B64" i="1"/>
  <c r="A64" i="1"/>
  <c r="F63" i="1"/>
  <c r="E63" i="1"/>
  <c r="D63" i="1"/>
  <c r="C63" i="1"/>
  <c r="B63" i="1"/>
  <c r="A63" i="1"/>
  <c r="F62" i="1"/>
  <c r="E62" i="1"/>
  <c r="D62" i="1"/>
  <c r="C62" i="1"/>
  <c r="B62" i="1"/>
  <c r="A62" i="1"/>
  <c r="F61" i="1"/>
  <c r="E61" i="1"/>
  <c r="D61" i="1"/>
  <c r="C61" i="1"/>
  <c r="B61" i="1"/>
  <c r="A61" i="1"/>
  <c r="F60" i="1"/>
  <c r="E60" i="1"/>
  <c r="D60" i="1"/>
  <c r="C60" i="1"/>
  <c r="B60" i="1"/>
  <c r="A60" i="1"/>
  <c r="G59" i="1"/>
  <c r="F59" i="1"/>
  <c r="E59" i="1"/>
  <c r="D59" i="1"/>
  <c r="C59" i="1"/>
  <c r="B59" i="1"/>
  <c r="A59" i="1"/>
  <c r="G58" i="1"/>
  <c r="F58" i="1"/>
  <c r="E58" i="1"/>
  <c r="D58" i="1"/>
  <c r="C58" i="1"/>
  <c r="B58" i="1"/>
  <c r="A58" i="1"/>
  <c r="G57" i="1"/>
  <c r="F57" i="1"/>
  <c r="E57" i="1"/>
  <c r="D57" i="1"/>
  <c r="C57" i="1"/>
  <c r="B57" i="1"/>
  <c r="A57" i="1"/>
  <c r="G56" i="1"/>
  <c r="F56" i="1"/>
  <c r="E56" i="1"/>
  <c r="D56" i="1"/>
  <c r="C56" i="1"/>
  <c r="B56" i="1"/>
  <c r="A56" i="1"/>
  <c r="G55" i="1"/>
  <c r="F55" i="1"/>
  <c r="E55" i="1"/>
  <c r="D55" i="1"/>
  <c r="C55" i="1"/>
  <c r="B55" i="1"/>
  <c r="A55" i="1"/>
  <c r="G54" i="1"/>
  <c r="F54" i="1"/>
  <c r="E54" i="1"/>
  <c r="D54" i="1"/>
  <c r="C54" i="1"/>
  <c r="B54" i="1"/>
  <c r="A54" i="1"/>
  <c r="G53" i="1"/>
  <c r="F53" i="1"/>
  <c r="E53" i="1"/>
  <c r="D53" i="1"/>
  <c r="C53" i="1"/>
  <c r="B53" i="1"/>
  <c r="A53" i="1"/>
  <c r="G52" i="1"/>
  <c r="F52" i="1"/>
  <c r="E52" i="1"/>
  <c r="D52" i="1"/>
  <c r="C52" i="1"/>
  <c r="B52" i="1"/>
  <c r="A52" i="1"/>
  <c r="G51" i="1"/>
  <c r="F51" i="1"/>
  <c r="E51" i="1"/>
  <c r="D51" i="1"/>
  <c r="C51" i="1"/>
  <c r="B51" i="1"/>
  <c r="A51" i="1"/>
  <c r="G50" i="1"/>
  <c r="F50" i="1"/>
  <c r="E50" i="1"/>
  <c r="D50" i="1"/>
  <c r="C50" i="1"/>
  <c r="B50" i="1"/>
  <c r="A50" i="1"/>
  <c r="G49" i="1"/>
  <c r="F49" i="1"/>
  <c r="E49" i="1"/>
  <c r="D49" i="1"/>
  <c r="C49" i="1"/>
  <c r="B49" i="1"/>
  <c r="A49" i="1"/>
  <c r="G48" i="1"/>
  <c r="F48" i="1"/>
  <c r="E48" i="1"/>
  <c r="D48" i="1"/>
  <c r="C48" i="1"/>
  <c r="B48" i="1"/>
  <c r="A48" i="1"/>
  <c r="G47" i="1"/>
  <c r="F47" i="1"/>
  <c r="E47" i="1"/>
  <c r="D47" i="1"/>
  <c r="C47" i="1"/>
  <c r="B47" i="1"/>
  <c r="A47" i="1"/>
  <c r="G46" i="1"/>
  <c r="F46" i="1"/>
  <c r="E46" i="1"/>
  <c r="D46" i="1"/>
  <c r="C46" i="1"/>
  <c r="B46" i="1"/>
  <c r="A46" i="1"/>
  <c r="G45" i="1"/>
  <c r="F45" i="1"/>
  <c r="E45" i="1"/>
  <c r="D45" i="1"/>
  <c r="C45" i="1"/>
  <c r="B45" i="1"/>
  <c r="A45" i="1"/>
  <c r="G44" i="1"/>
  <c r="F44" i="1"/>
  <c r="E44" i="1"/>
  <c r="D44" i="1"/>
  <c r="C44" i="1"/>
  <c r="B44" i="1"/>
  <c r="A44" i="1"/>
  <c r="G43" i="1"/>
  <c r="F43" i="1"/>
  <c r="E43" i="1"/>
  <c r="D43" i="1"/>
  <c r="C43" i="1"/>
  <c r="B43" i="1"/>
  <c r="A43" i="1"/>
  <c r="G42" i="1"/>
  <c r="F42" i="1"/>
  <c r="E42" i="1"/>
  <c r="D42" i="1"/>
  <c r="C42" i="1"/>
  <c r="B42" i="1"/>
  <c r="A42" i="1"/>
  <c r="G41" i="1"/>
  <c r="F41" i="1"/>
  <c r="E41" i="1"/>
  <c r="D41" i="1"/>
  <c r="C41" i="1"/>
  <c r="B41" i="1"/>
  <c r="A41" i="1"/>
  <c r="G40" i="1"/>
  <c r="F40" i="1"/>
  <c r="E40" i="1"/>
  <c r="D40" i="1"/>
  <c r="C40" i="1"/>
  <c r="B40" i="1"/>
  <c r="A40" i="1"/>
  <c r="G39" i="1"/>
  <c r="F39" i="1"/>
  <c r="E39" i="1"/>
  <c r="D39" i="1"/>
  <c r="C39" i="1"/>
  <c r="B39" i="1"/>
  <c r="A39" i="1"/>
  <c r="F38" i="1"/>
  <c r="E38" i="1"/>
  <c r="D38" i="1"/>
  <c r="C38" i="1"/>
  <c r="B38" i="1"/>
  <c r="A38" i="1"/>
  <c r="F37" i="1"/>
  <c r="E37" i="1"/>
  <c r="D37" i="1"/>
  <c r="C37" i="1"/>
  <c r="B37" i="1"/>
  <c r="A37" i="1"/>
  <c r="F36" i="1"/>
  <c r="E36" i="1"/>
  <c r="D36" i="1"/>
  <c r="C36" i="1"/>
  <c r="B36" i="1"/>
  <c r="A36" i="1"/>
  <c r="F35" i="1"/>
  <c r="E35" i="1"/>
  <c r="D35" i="1"/>
  <c r="C35" i="1"/>
  <c r="B35" i="1"/>
  <c r="A35" i="1"/>
  <c r="F34" i="1"/>
  <c r="E34" i="1"/>
  <c r="D34" i="1"/>
  <c r="C34" i="1"/>
  <c r="B34" i="1"/>
  <c r="A34" i="1"/>
  <c r="F33" i="1"/>
  <c r="E33" i="1"/>
  <c r="D33" i="1"/>
  <c r="C33" i="1"/>
  <c r="B33" i="1"/>
  <c r="A33" i="1"/>
  <c r="F32" i="1"/>
  <c r="E32" i="1"/>
  <c r="D32" i="1"/>
  <c r="C32" i="1"/>
  <c r="B32" i="1"/>
  <c r="A32" i="1"/>
  <c r="F31" i="1"/>
  <c r="E31" i="1"/>
  <c r="D31" i="1"/>
  <c r="C31" i="1"/>
  <c r="B31" i="1"/>
  <c r="A31" i="1"/>
  <c r="F30" i="1"/>
  <c r="E30" i="1"/>
  <c r="D30" i="1"/>
  <c r="C30" i="1"/>
  <c r="B30" i="1"/>
  <c r="A30" i="1"/>
  <c r="F29" i="1"/>
  <c r="E29" i="1"/>
  <c r="D29" i="1"/>
  <c r="C29" i="1"/>
  <c r="B29" i="1"/>
  <c r="A29" i="1"/>
  <c r="F28" i="1"/>
  <c r="E28" i="1"/>
  <c r="D28" i="1"/>
  <c r="C28" i="1"/>
  <c r="B28" i="1"/>
  <c r="A28" i="1"/>
  <c r="F27" i="1"/>
  <c r="E27" i="1"/>
  <c r="D27" i="1"/>
  <c r="C27" i="1"/>
  <c r="B27" i="1"/>
  <c r="A27" i="1"/>
  <c r="F26" i="1"/>
  <c r="E26" i="1"/>
  <c r="D26" i="1"/>
  <c r="C26" i="1"/>
  <c r="B26" i="1"/>
  <c r="A26" i="1"/>
  <c r="F25" i="1"/>
  <c r="E25" i="1"/>
  <c r="D25" i="1"/>
  <c r="C25" i="1"/>
  <c r="B25" i="1"/>
  <c r="A25" i="1"/>
  <c r="F24" i="1"/>
  <c r="E24" i="1"/>
  <c r="D24" i="1"/>
  <c r="C24" i="1"/>
  <c r="B24" i="1"/>
  <c r="A24" i="1"/>
  <c r="F23" i="1"/>
  <c r="E23" i="1"/>
  <c r="D23" i="1"/>
  <c r="C23" i="1"/>
  <c r="B23" i="1"/>
  <c r="A23" i="1"/>
  <c r="F22" i="1"/>
  <c r="E22" i="1"/>
  <c r="D22" i="1"/>
  <c r="C22" i="1"/>
  <c r="B22" i="1"/>
  <c r="A22" i="1"/>
  <c r="F21" i="1"/>
  <c r="E21" i="1"/>
  <c r="D21" i="1"/>
  <c r="C21" i="1"/>
  <c r="B21" i="1"/>
  <c r="A21" i="1"/>
  <c r="F20" i="1"/>
  <c r="E20" i="1"/>
  <c r="D20" i="1"/>
  <c r="C20" i="1"/>
  <c r="B20" i="1"/>
  <c r="A20" i="1"/>
  <c r="F19" i="1"/>
  <c r="E19" i="1"/>
  <c r="D19" i="1"/>
  <c r="C19" i="1"/>
  <c r="B19" i="1"/>
  <c r="A19" i="1"/>
  <c r="F18" i="1"/>
  <c r="E18" i="1"/>
  <c r="D18" i="1"/>
  <c r="C18" i="1"/>
  <c r="B18" i="1"/>
  <c r="A18" i="1"/>
  <c r="F17" i="1"/>
  <c r="E17" i="1"/>
  <c r="D17" i="1"/>
  <c r="C17" i="1"/>
  <c r="B17" i="1"/>
  <c r="A17" i="1"/>
  <c r="F16" i="1"/>
  <c r="E16" i="1"/>
  <c r="D16" i="1"/>
  <c r="C16" i="1"/>
  <c r="B16" i="1"/>
  <c r="A16" i="1"/>
  <c r="F15" i="1"/>
  <c r="E15" i="1"/>
  <c r="D15" i="1"/>
  <c r="C15" i="1"/>
  <c r="B15" i="1"/>
  <c r="A15" i="1"/>
  <c r="F14" i="1"/>
  <c r="E14" i="1"/>
  <c r="D14" i="1"/>
  <c r="C14" i="1"/>
  <c r="B14" i="1"/>
  <c r="A14" i="1"/>
  <c r="F13" i="1"/>
  <c r="E13" i="1"/>
  <c r="D13" i="1"/>
  <c r="C13" i="1"/>
  <c r="B13" i="1"/>
  <c r="A13" i="1"/>
  <c r="G12" i="1"/>
  <c r="F12" i="1"/>
  <c r="E12" i="1"/>
  <c r="D12" i="1"/>
  <c r="C12" i="1"/>
  <c r="B12" i="1"/>
  <c r="A12" i="1"/>
  <c r="G11" i="1"/>
  <c r="F11" i="1"/>
  <c r="E11" i="1"/>
  <c r="D11" i="1"/>
  <c r="C11" i="1"/>
  <c r="B11" i="1"/>
  <c r="A11" i="1"/>
  <c r="G10" i="1"/>
  <c r="F10" i="1"/>
  <c r="E10" i="1"/>
  <c r="D10" i="1"/>
  <c r="C10" i="1"/>
  <c r="B10" i="1"/>
  <c r="A10" i="1"/>
  <c r="G9" i="1"/>
  <c r="F9" i="1"/>
  <c r="E9" i="1"/>
  <c r="D9" i="1"/>
  <c r="C9" i="1"/>
  <c r="B9" i="1"/>
  <c r="A9" i="1"/>
  <c r="G8" i="1"/>
  <c r="F8" i="1"/>
  <c r="E8" i="1"/>
  <c r="D8" i="1"/>
  <c r="C8" i="1"/>
  <c r="B8" i="1"/>
  <c r="A8" i="1"/>
  <c r="G7" i="1"/>
  <c r="F7" i="1"/>
  <c r="E7" i="1"/>
  <c r="D7" i="1"/>
  <c r="C7" i="1"/>
  <c r="B7" i="1"/>
  <c r="A7" i="1"/>
  <c r="F6" i="1"/>
  <c r="E6" i="1"/>
  <c r="D6" i="1"/>
  <c r="C6" i="1"/>
  <c r="B6" i="1"/>
  <c r="A6" i="1"/>
  <c r="F5" i="1"/>
  <c r="E5" i="1"/>
  <c r="D5" i="1"/>
  <c r="C5" i="1"/>
  <c r="B5" i="1"/>
  <c r="A5" i="1"/>
  <c r="F4" i="1"/>
  <c r="E4" i="1"/>
  <c r="D4" i="1"/>
  <c r="C4" i="1"/>
  <c r="B4" i="1"/>
  <c r="A4" i="1"/>
  <c r="F3" i="1"/>
  <c r="E3" i="1"/>
  <c r="D3" i="1"/>
  <c r="C3" i="1"/>
  <c r="B3" i="1"/>
  <c r="A3" i="1"/>
  <c r="G2" i="1"/>
  <c r="F2" i="1"/>
  <c r="E2" i="1"/>
  <c r="D2" i="1"/>
  <c r="C2" i="1"/>
  <c r="B2" i="1"/>
  <c r="A2" i="1"/>
</calcChain>
</file>

<file path=xl/sharedStrings.xml><?xml version="1.0" encoding="utf-8"?>
<sst xmlns="http://schemas.openxmlformats.org/spreadsheetml/2006/main" count="2082" uniqueCount="588">
  <si>
    <t>種類</t>
  </si>
  <si>
    <t>技名</t>
  </si>
  <si>
    <t>属性</t>
  </si>
  <si>
    <t>威力</t>
  </si>
  <si>
    <t>消費テンション</t>
  </si>
  <si>
    <t>入手場所</t>
  </si>
  <si>
    <t>特性</t>
  </si>
  <si>
    <t>備考</t>
  </si>
  <si>
    <t>シュート技</t>
  </si>
  <si>
    <t>イナズマ落とし</t>
  </si>
  <si>
    <t>風</t>
  </si>
  <si>
    <t>クロニクル百貨店</t>
  </si>
  <si>
    <t>カウンターシュート</t>
  </si>
  <si>
    <t>ツインブースト</t>
  </si>
  <si>
    <t>火</t>
  </si>
  <si>
    <t>ファイアトルネード</t>
  </si>
  <si>
    <t>百烈ショット</t>
  </si>
  <si>
    <t>林</t>
  </si>
  <si>
    <t>特訓ショップ</t>
  </si>
  <si>
    <t>イナズマ1号</t>
  </si>
  <si>
    <t>ドラゴンクラッシュ</t>
  </si>
  <si>
    <t>グレネードショット</t>
  </si>
  <si>
    <t>デスゾーン</t>
  </si>
  <si>
    <t>ファントムシュート</t>
  </si>
  <si>
    <t>秘宝堂</t>
  </si>
  <si>
    <t>スピニングシュート</t>
  </si>
  <si>
    <t>ローリングキック</t>
  </si>
  <si>
    <t>分身シュート</t>
  </si>
  <si>
    <t>パトリオットシュート</t>
  </si>
  <si>
    <t>ロングシュート</t>
  </si>
  <si>
    <t>スパイラルショット</t>
  </si>
  <si>
    <t>フリーズショット</t>
  </si>
  <si>
    <t>VSストア</t>
  </si>
  <si>
    <t>クロスドライブ</t>
  </si>
  <si>
    <t>コンドルダイブ</t>
  </si>
  <si>
    <t>ラン・ボール・ラン</t>
  </si>
  <si>
    <t>トライアンングルZ</t>
  </si>
  <si>
    <t>ド根性バット</t>
  </si>
  <si>
    <t>リフレクトバスター</t>
  </si>
  <si>
    <t>山</t>
  </si>
  <si>
    <t>クンフーヘッド</t>
  </si>
  <si>
    <t>シャインドライブ</t>
  </si>
  <si>
    <t>ディバインアロー</t>
  </si>
  <si>
    <t>バックトルネード</t>
  </si>
  <si>
    <t>ターザンキック</t>
  </si>
  <si>
    <t>ゴッドノウズ</t>
  </si>
  <si>
    <t>ドラゴントルネード</t>
  </si>
  <si>
    <t>つちだるま</t>
  </si>
  <si>
    <t>炎の風見鶏</t>
  </si>
  <si>
    <t>イナズマブレイク</t>
  </si>
  <si>
    <t>皇帝ペンギン2号</t>
  </si>
  <si>
    <t>ザ・フェニックス</t>
  </si>
  <si>
    <t>ボックス</t>
  </si>
  <si>
    <t>コロドラシュート</t>
  </si>
  <si>
    <t>ダークトルネード</t>
  </si>
  <si>
    <t>エターナルブリザード</t>
  </si>
  <si>
    <t>爆熱ストーム</t>
  </si>
  <si>
    <t>ツナミブースト</t>
  </si>
  <si>
    <t>デスゾーン2</t>
  </si>
  <si>
    <t>ジ・アース</t>
  </si>
  <si>
    <t>スピリット交換所</t>
  </si>
  <si>
    <t>レインボーループ</t>
  </si>
  <si>
    <t>アストロブレイク</t>
  </si>
  <si>
    <t>流星ブレード</t>
  </si>
  <si>
    <t>トカチェフボンバー</t>
  </si>
  <si>
    <t>クンフーアタック</t>
  </si>
  <si>
    <t>ダブルグレネード</t>
  </si>
  <si>
    <t>レボリューションV</t>
  </si>
  <si>
    <t>デュアルストライク</t>
  </si>
  <si>
    <t>ウルフレジェンド</t>
  </si>
  <si>
    <t>皇帝ペンギン1号</t>
  </si>
  <si>
    <t>ローズスプラッシュ</t>
  </si>
  <si>
    <t>グングニル</t>
  </si>
  <si>
    <t>トライペガサス</t>
  </si>
  <si>
    <t>イナズマ1号落とし</t>
  </si>
  <si>
    <t>ガニメデプロトン</t>
  </si>
  <si>
    <t>イーグルバスター</t>
  </si>
  <si>
    <t>バタフライドリーム</t>
  </si>
  <si>
    <t>ユニバースブラスト</t>
  </si>
  <si>
    <t>ガイアブレイク</t>
  </si>
  <si>
    <t>メガネクラッシュ</t>
  </si>
  <si>
    <t>ツインブーストF</t>
  </si>
  <si>
    <t>アトミックフレア</t>
  </si>
  <si>
    <t>セキュリティショット</t>
  </si>
  <si>
    <t>スーパーノヴァ</t>
  </si>
  <si>
    <t>スペースペンギン</t>
  </si>
  <si>
    <t>ワイバーンクラッシュ</t>
  </si>
  <si>
    <t>ワイバーンブリザード</t>
  </si>
  <si>
    <t>ファイアブリザード</t>
  </si>
  <si>
    <t>ダークフェニックス</t>
  </si>
  <si>
    <t>トリプルブースト</t>
  </si>
  <si>
    <t>ゴッドブレイク</t>
  </si>
  <si>
    <t>メガトンヘッド</t>
  </si>
  <si>
    <t>通天閣シュート</t>
  </si>
  <si>
    <t>ノーザンインパクト</t>
  </si>
  <si>
    <t>クロスファイア</t>
  </si>
  <si>
    <t>タイガードライブ</t>
  </si>
  <si>
    <t>エクスカリバー</t>
  </si>
  <si>
    <t>ヘルファイア</t>
  </si>
  <si>
    <t>ザ・タイフーン</t>
  </si>
  <si>
    <t>竜巻落とし</t>
  </si>
  <si>
    <t>サンダービースト</t>
  </si>
  <si>
    <t>タイガーストーム</t>
  </si>
  <si>
    <t>ドラゴンスレイヤー</t>
  </si>
  <si>
    <t>グラディウスアーチ</t>
  </si>
  <si>
    <t>皇帝ペンギン3号</t>
  </si>
  <si>
    <t>グランフェンリル</t>
  </si>
  <si>
    <t>オーディンソード</t>
  </si>
  <si>
    <t>ヘブンドライブ</t>
  </si>
  <si>
    <t>ストライクサンバ</t>
  </si>
  <si>
    <t>ザ・バース</t>
  </si>
  <si>
    <t>ビッグバン</t>
  </si>
  <si>
    <t>ザ・ハリケーン</t>
  </si>
  <si>
    <t>メガロドン</t>
  </si>
  <si>
    <t>パラディンストライク</t>
  </si>
  <si>
    <t>ザ・チューブ</t>
  </si>
  <si>
    <t>ガンショット</t>
  </si>
  <si>
    <t>爆熱スクリュー</t>
  </si>
  <si>
    <t>ミラージュシュート</t>
  </si>
  <si>
    <t>ペガサスショット</t>
  </si>
  <si>
    <t>ユニコーンブースト</t>
  </si>
  <si>
    <t>ジェットストリーム</t>
  </si>
  <si>
    <t>グランドファイア</t>
  </si>
  <si>
    <t>カオスブレイク</t>
  </si>
  <si>
    <t>ダブル・ジョー</t>
  </si>
  <si>
    <t>スリングショット</t>
  </si>
  <si>
    <t>皇帝ペンギンX</t>
  </si>
  <si>
    <t>RCシュート</t>
  </si>
  <si>
    <t>Xブラスト</t>
  </si>
  <si>
    <t>ゴッドキャノン</t>
  </si>
  <si>
    <t>ダークマター</t>
  </si>
  <si>
    <t>シャドウ・レイ</t>
  </si>
  <si>
    <t>マキシマムファイア</t>
  </si>
  <si>
    <t>プライムレジェンド</t>
  </si>
  <si>
    <t>デスレイン</t>
  </si>
  <si>
    <t>デススピアー</t>
  </si>
  <si>
    <t>デスブレイク</t>
  </si>
  <si>
    <t>天空落とし</t>
  </si>
  <si>
    <t>マッハウィンド</t>
  </si>
  <si>
    <t>デスソード</t>
  </si>
  <si>
    <t>皇帝ペンギン7</t>
  </si>
  <si>
    <t>ぶっとびジャンプ</t>
  </si>
  <si>
    <t>伝来宝刀</t>
  </si>
  <si>
    <t>バウンドフレイム</t>
  </si>
  <si>
    <t>ロケットヘッド</t>
  </si>
  <si>
    <t>バリスタショット</t>
  </si>
  <si>
    <t>トライアングルZZ</t>
  </si>
  <si>
    <t>パーフェクトコース</t>
  </si>
  <si>
    <t>フォルテシモ</t>
  </si>
  <si>
    <t>デスドロップ</t>
  </si>
  <si>
    <t>マボロシショット</t>
  </si>
  <si>
    <t>ソニックショット</t>
  </si>
  <si>
    <t>ジョーカーレインズ</t>
  </si>
  <si>
    <t>フライングフィッシュ</t>
  </si>
  <si>
    <t>サイドワインダー</t>
  </si>
  <si>
    <t>デビルバースト</t>
  </si>
  <si>
    <t>ホワイトハリケーン</t>
  </si>
  <si>
    <t>ゼロマグナム</t>
  </si>
  <si>
    <t>無</t>
  </si>
  <si>
    <t>エクステンドゾーン</t>
  </si>
  <si>
    <t>エボリューション</t>
  </si>
  <si>
    <t>パンサーブリザード</t>
  </si>
  <si>
    <t>風林火山デストロイヤー</t>
  </si>
  <si>
    <t>ブラックアッシュ</t>
  </si>
  <si>
    <t>ファイアトルネードDD</t>
  </si>
  <si>
    <t>バウンサーラビット</t>
  </si>
  <si>
    <t>スピニングトランザム</t>
  </si>
  <si>
    <t>古代の牙</t>
  </si>
  <si>
    <t>プラズマボール</t>
  </si>
  <si>
    <t>ダブルショット</t>
  </si>
  <si>
    <t>ドラゴンブラスター</t>
  </si>
  <si>
    <t>刹那ブースト</t>
  </si>
  <si>
    <t>火縄バレット</t>
  </si>
  <si>
    <t>ラブ・アロー</t>
  </si>
  <si>
    <t>ディザスターブレイク</t>
  </si>
  <si>
    <t>ギアドライブ</t>
  </si>
  <si>
    <t>オーガブレード</t>
  </si>
  <si>
    <t>双飛遊星弾</t>
  </si>
  <si>
    <t>ゴッドウィンド</t>
  </si>
  <si>
    <t>エクストリームラビット</t>
  </si>
  <si>
    <t>ガンマストライク</t>
  </si>
  <si>
    <t>天地雷鳴</t>
  </si>
  <si>
    <t>菊一文字</t>
  </si>
  <si>
    <t>シェルビットバースト</t>
  </si>
  <si>
    <t>やきもちスクリュー</t>
  </si>
  <si>
    <t>王者の牙</t>
  </si>
  <si>
    <t>オメガアタック</t>
  </si>
  <si>
    <t>デッドフューチャー</t>
  </si>
  <si>
    <t>スプリングアロー</t>
  </si>
  <si>
    <t>グレートマックスなオレ</t>
  </si>
  <si>
    <t>最強イレブン波動</t>
  </si>
  <si>
    <t>ループシュート</t>
  </si>
  <si>
    <t>リアルスキル</t>
  </si>
  <si>
    <t>曲がるシュート</t>
  </si>
  <si>
    <t>ワンバンシュート</t>
  </si>
  <si>
    <t>パワーシュート</t>
  </si>
  <si>
    <t>グラウンダーシュート</t>
  </si>
  <si>
    <t>春雷</t>
  </si>
  <si>
    <t>サンシャインブレード</t>
  </si>
  <si>
    <t>剛の一閃</t>
  </si>
  <si>
    <t>ぐるぐるシュート</t>
  </si>
  <si>
    <t>チートブラスター</t>
  </si>
  <si>
    <t>エイムショット</t>
  </si>
  <si>
    <t>ペンギン・ザ・パレード</t>
  </si>
  <si>
    <t>メテオッド・ファイアトルネード</t>
  </si>
  <si>
    <t>バハムートクラッシュ</t>
  </si>
  <si>
    <t>天空サンダー</t>
  </si>
  <si>
    <t>オフェンス技</t>
  </si>
  <si>
    <t>分身フェイント</t>
  </si>
  <si>
    <t>疾風ダッシュ</t>
  </si>
  <si>
    <t>竜巻旋風</t>
  </si>
  <si>
    <t>イリュージョンボール</t>
  </si>
  <si>
    <t>ダッシュアクセル</t>
  </si>
  <si>
    <t>ヒートタックル</t>
  </si>
  <si>
    <t>ジグザグスパーク</t>
  </si>
  <si>
    <t>スーパーアルマジロ</t>
  </si>
  <si>
    <t>五里霧中</t>
  </si>
  <si>
    <t>残像</t>
  </si>
  <si>
    <t>モグラフェイント</t>
  </si>
  <si>
    <t>モンキーターン</t>
  </si>
  <si>
    <t>ヘブンズタイム</t>
  </si>
  <si>
    <t>ダッシュストーム</t>
  </si>
  <si>
    <t>まぼろしドリブル</t>
  </si>
  <si>
    <t>ニニンサンキャク</t>
  </si>
  <si>
    <t>オーロラドリブル</t>
  </si>
  <si>
    <t>ひとりワンツー</t>
  </si>
  <si>
    <t>プリマドンナ</t>
  </si>
  <si>
    <t>ライトニングアクセル</t>
  </si>
  <si>
    <t>合気道</t>
  </si>
  <si>
    <t>メテオシャワー</t>
  </si>
  <si>
    <t>サザンクロスカット</t>
  </si>
  <si>
    <t>ウォーターベール</t>
  </si>
  <si>
    <t>キラーフィールズ</t>
  </si>
  <si>
    <t>カンガルーキック</t>
  </si>
  <si>
    <t>ならく落とし</t>
  </si>
  <si>
    <t>ジ・イカロス</t>
  </si>
  <si>
    <t>風神の舞</t>
  </si>
  <si>
    <t>マタドールフェイント</t>
  </si>
  <si>
    <t>スーパーエラシコ</t>
  </si>
  <si>
    <t>エアライド</t>
  </si>
  <si>
    <t>ジャッジスルー3</t>
  </si>
  <si>
    <t>ドッグラン</t>
  </si>
  <si>
    <t>ウルトラムーン</t>
  </si>
  <si>
    <t>エンゼルボール</t>
  </si>
  <si>
    <t>デビルボール</t>
  </si>
  <si>
    <t>なみのりピエロ</t>
  </si>
  <si>
    <t>トリックボール</t>
  </si>
  <si>
    <t>フューチャー・アイ</t>
  </si>
  <si>
    <t>ゼロヨン</t>
  </si>
  <si>
    <t>プレストターン</t>
  </si>
  <si>
    <t>そよかぜステップ</t>
  </si>
  <si>
    <t>ホワイトブレード</t>
  </si>
  <si>
    <t>ブーメランフェイント</t>
  </si>
  <si>
    <t>クレイモア</t>
  </si>
  <si>
    <t>ブリタニアクロス</t>
  </si>
  <si>
    <t>ラウンドスパーク</t>
  </si>
  <si>
    <t>スカイウォーク</t>
  </si>
  <si>
    <t>昇龍</t>
  </si>
  <si>
    <t>オリンポスハーモニー</t>
  </si>
  <si>
    <t>アクロバットキープ</t>
  </si>
  <si>
    <t>アグレッシブビート</t>
  </si>
  <si>
    <t>スピニングアッパー</t>
  </si>
  <si>
    <t>風穴ドライブ</t>
  </si>
  <si>
    <t>トランスムーブ</t>
  </si>
  <si>
    <t>バンジースラスト</t>
  </si>
  <si>
    <t>スパークエッジドリブル</t>
  </si>
  <si>
    <t>ツバメ返し</t>
  </si>
  <si>
    <t>クロシオライド</t>
  </si>
  <si>
    <t>王の剣</t>
  </si>
  <si>
    <t>そよヤギステップ</t>
  </si>
  <si>
    <t>デコイ・リリース</t>
  </si>
  <si>
    <t>ホッピングトリック</t>
  </si>
  <si>
    <t>ゆさぶりフェイント</t>
  </si>
  <si>
    <t>ヒールリフト</t>
  </si>
  <si>
    <t>また抜き</t>
  </si>
  <si>
    <t>フェイント抜き</t>
  </si>
  <si>
    <t>かく乱ステップ</t>
  </si>
  <si>
    <t>エンデバーラン</t>
  </si>
  <si>
    <t>オーバーグロウ</t>
  </si>
  <si>
    <t>ナイアガラフォールズ</t>
  </si>
  <si>
    <t>ブラックメイル</t>
  </si>
  <si>
    <t>ジェネラル・フラッグ</t>
  </si>
  <si>
    <t>ビューティフルフープ</t>
  </si>
  <si>
    <t>ディフェンス技</t>
  </si>
  <si>
    <t>ザ・ウォール</t>
  </si>
  <si>
    <t>シュートブロック</t>
  </si>
  <si>
    <t>キラースライド</t>
  </si>
  <si>
    <t>コイルターン</t>
  </si>
  <si>
    <t>アースクェイク</t>
  </si>
  <si>
    <t>クイックドロウ</t>
  </si>
  <si>
    <t>蜘蛛の糸</t>
  </si>
  <si>
    <t>サイクロン</t>
  </si>
  <si>
    <t>フェイクボール</t>
  </si>
  <si>
    <t>影縫い</t>
  </si>
  <si>
    <t>四股踏み</t>
  </si>
  <si>
    <t>ハリケーンアロー</t>
  </si>
  <si>
    <t>スピニングカット</t>
  </si>
  <si>
    <t>怨霊</t>
  </si>
  <si>
    <t>かごめかごめ</t>
  </si>
  <si>
    <t>ハーヴェスト</t>
  </si>
  <si>
    <t>メガクェイク</t>
  </si>
  <si>
    <t>ブレードアタック</t>
  </si>
  <si>
    <t>シューティングスター</t>
  </si>
  <si>
    <t>アイスグランド</t>
  </si>
  <si>
    <t>分身ディフェンス</t>
  </si>
  <si>
    <t>ブロックサーカス</t>
  </si>
  <si>
    <t>ザ・タワー</t>
  </si>
  <si>
    <t>フォトンフラッシュ</t>
  </si>
  <si>
    <t>グラビテイション</t>
  </si>
  <si>
    <t>ボルケイノカット</t>
  </si>
  <si>
    <t>スーパー四股踏み</t>
  </si>
  <si>
    <t>シグマゾーン</t>
  </si>
  <si>
    <t>ダブルサイクロン</t>
  </si>
  <si>
    <t>ノーエスケイプ</t>
  </si>
  <si>
    <t>フレイムダンス</t>
  </si>
  <si>
    <t>アステロイドベルト</t>
  </si>
  <si>
    <t>ボディシールド</t>
  </si>
  <si>
    <t>プロファイルゾーン</t>
  </si>
  <si>
    <t>イグナイトスティール</t>
  </si>
  <si>
    <t>旋風陣</t>
  </si>
  <si>
    <t>フローズンスティール</t>
  </si>
  <si>
    <t>パーフェクト・タワー</t>
  </si>
  <si>
    <t>デーモンカット</t>
  </si>
  <si>
    <t>スノーエンジェル</t>
  </si>
  <si>
    <t>グレイブストーン</t>
  </si>
  <si>
    <t>地走り火炎</t>
  </si>
  <si>
    <t>アイアンウォール</t>
  </si>
  <si>
    <t>真空魔</t>
  </si>
  <si>
    <t>ローリングスライド</t>
  </si>
  <si>
    <t>ストーンプリズン</t>
  </si>
  <si>
    <t>ザ・マウンテン</t>
  </si>
  <si>
    <t>ジグザグフレイム</t>
  </si>
  <si>
    <t>ゴー・トゥ・ヘブン</t>
  </si>
  <si>
    <t>ゴー・トゥ・ヘル</t>
  </si>
  <si>
    <t>ザ・ミスト</t>
  </si>
  <si>
    <t>ハンターズネット</t>
  </si>
  <si>
    <t>ダッシュトレイン</t>
  </si>
  <si>
    <t>サルガッソー</t>
  </si>
  <si>
    <t>シーフ・アイ</t>
  </si>
  <si>
    <t>スパイラルドロー</t>
  </si>
  <si>
    <t>エアーバレット</t>
  </si>
  <si>
    <t>かっとびディフェンス</t>
  </si>
  <si>
    <t>ツインミキサー</t>
  </si>
  <si>
    <t>ビッグシザース</t>
  </si>
  <si>
    <t>ディメンションカット</t>
  </si>
  <si>
    <t>エレファントプレス</t>
  </si>
  <si>
    <t>バニシングカット</t>
  </si>
  <si>
    <t>クレイジーサンライト</t>
  </si>
  <si>
    <t>ビバ！万里の長城</t>
  </si>
  <si>
    <t>ディープミスト</t>
  </si>
  <si>
    <t>アトランティスウォール</t>
  </si>
  <si>
    <t>フラクタルハウス</t>
  </si>
  <si>
    <t>ワンダートラップ</t>
  </si>
  <si>
    <t>古代の翼</t>
  </si>
  <si>
    <t>コイルアッパー</t>
  </si>
  <si>
    <t>きらきらイリュージョン</t>
  </si>
  <si>
    <t>マグネットドロー</t>
  </si>
  <si>
    <t>ラ・フラム</t>
  </si>
  <si>
    <t>もちもち黄粉餅</t>
  </si>
  <si>
    <t>スクリュードライバー</t>
  </si>
  <si>
    <t>一夜城</t>
  </si>
  <si>
    <t>オケハザマウォール</t>
  </si>
  <si>
    <t>無影乱舞</t>
  </si>
  <si>
    <t>ブリッツブリッジ</t>
  </si>
  <si>
    <t>グランドスイーパー</t>
  </si>
  <si>
    <t>フェイントプレイ</t>
  </si>
  <si>
    <t>ショルダーチャージ</t>
  </si>
  <si>
    <t>トリックカット</t>
  </si>
  <si>
    <t>ひっぱりカット</t>
  </si>
  <si>
    <t>ローリングカット</t>
  </si>
  <si>
    <t>ダンシングタートル</t>
  </si>
  <si>
    <t>ザ・マトリックス</t>
  </si>
  <si>
    <t>ディープダイバー</t>
  </si>
  <si>
    <t>ザ・フォート</t>
  </si>
  <si>
    <t>海神・ザ・クェイク</t>
  </si>
  <si>
    <t>ロックハンマー</t>
  </si>
  <si>
    <t>キーパー技</t>
  </si>
  <si>
    <t>ゴッドハンド</t>
  </si>
  <si>
    <t>パワーシールド</t>
  </si>
  <si>
    <t>パンチング</t>
  </si>
  <si>
    <t>熱血パンチ</t>
  </si>
  <si>
    <t>シュートポケット</t>
  </si>
  <si>
    <t>ゆがむ空間</t>
  </si>
  <si>
    <t>ゴールずらし</t>
  </si>
  <si>
    <t>トリプルディフェンス</t>
  </si>
  <si>
    <t>タフネスブロック</t>
  </si>
  <si>
    <t>フルパワーシールド</t>
  </si>
  <si>
    <t>薪割りチョップ</t>
  </si>
  <si>
    <t>つむじ</t>
  </si>
  <si>
    <t>ロケットこぶし</t>
  </si>
  <si>
    <t>ギガントウォール</t>
  </si>
  <si>
    <t>つなみウォール</t>
  </si>
  <si>
    <t>爆裂パンチ</t>
  </si>
  <si>
    <t>マジン・ザ・ハンド</t>
  </si>
  <si>
    <t>無限の壁</t>
  </si>
  <si>
    <t>ムゲン・ザ・ハンド</t>
  </si>
  <si>
    <t>ちゃぶ台返し</t>
  </si>
  <si>
    <t>火炎放射</t>
  </si>
  <si>
    <t>ビーストファング</t>
  </si>
  <si>
    <t>ドリルスマッシャー</t>
  </si>
  <si>
    <t>デュアルスマッシュ</t>
  </si>
  <si>
    <t>ダブルロケット</t>
  </si>
  <si>
    <t>花吹雪</t>
  </si>
  <si>
    <t>ブラックホール</t>
  </si>
  <si>
    <t>セーフティープロテクト</t>
  </si>
  <si>
    <t>ワームホール</t>
  </si>
  <si>
    <t>時空の壁</t>
  </si>
  <si>
    <t>プロキオンネット</t>
  </si>
  <si>
    <t>正義の鉄拳</t>
  </si>
  <si>
    <t>バーンアウト</t>
  </si>
  <si>
    <t>アイスブロック</t>
  </si>
  <si>
    <t>イジゲン・ザ・ハンド</t>
  </si>
  <si>
    <t>怒りの鉄槌</t>
  </si>
  <si>
    <t>タマシイ・ザ・ハンド</t>
  </si>
  <si>
    <t>ゴッドハンドX</t>
  </si>
  <si>
    <t>魔王・ザ・ハンド</t>
  </si>
  <si>
    <t>ゴッドキャッチ</t>
  </si>
  <si>
    <t>ストームライダー</t>
  </si>
  <si>
    <t>フラッシュアッパー</t>
  </si>
  <si>
    <t>大爆発張り手</t>
  </si>
  <si>
    <t>グレートバリアリーフ</t>
  </si>
  <si>
    <t>ビッグスパイダー</t>
  </si>
  <si>
    <t>ガラティーン</t>
  </si>
  <si>
    <t>コロッセオガード</t>
  </si>
  <si>
    <t>ミリオンハンズ</t>
  </si>
  <si>
    <t>カポエィラスナッチ</t>
  </si>
  <si>
    <t>ハイボルテージ</t>
  </si>
  <si>
    <t>オメガ・ザ・ハンド</t>
  </si>
  <si>
    <t>エレキトラップ</t>
  </si>
  <si>
    <t>ホーリーゾーン</t>
  </si>
  <si>
    <t>ジ・エンド</t>
  </si>
  <si>
    <t>ニードルハンマー</t>
  </si>
  <si>
    <t>ハイドロアンカー</t>
  </si>
  <si>
    <t>フェンス・オブ・ガイア</t>
  </si>
  <si>
    <t>バーニングキャッチ</t>
  </si>
  <si>
    <t>クリスタルバリア</t>
  </si>
  <si>
    <t>影掴み</t>
  </si>
  <si>
    <t>ムーンサルトスタンプ</t>
  </si>
  <si>
    <t>パワースパイク</t>
  </si>
  <si>
    <t>シュートブレイク</t>
  </si>
  <si>
    <t>ゴッドハンドV</t>
  </si>
  <si>
    <t>サーペントファング</t>
  </si>
  <si>
    <t>無頼ハンド</t>
  </si>
  <si>
    <t>キルブリッジ</t>
  </si>
  <si>
    <t>グラビティポイント</t>
  </si>
  <si>
    <t>ドーンシャウト</t>
  </si>
  <si>
    <t>エクセレントブレスト</t>
  </si>
  <si>
    <t>リバースワールド</t>
  </si>
  <si>
    <t>ジャイロセービング</t>
  </si>
  <si>
    <t>ビームこぶし</t>
  </si>
  <si>
    <t>サンドカッター</t>
  </si>
  <si>
    <t>ぶっとびパンチ</t>
  </si>
  <si>
    <t>ゴッドハンドW</t>
  </si>
  <si>
    <t>大国謳歌</t>
  </si>
  <si>
    <t>弧月十字掌</t>
  </si>
  <si>
    <t>ペンギン・ザ・ハンド</t>
  </si>
  <si>
    <t>リジェクション</t>
  </si>
  <si>
    <t>きあいのパンチ</t>
  </si>
  <si>
    <t>ふんばりキャッチ</t>
  </si>
  <si>
    <t>パワーハンドキャッチ</t>
  </si>
  <si>
    <t>氷結の舞</t>
  </si>
  <si>
    <t>アウターワールド</t>
  </si>
  <si>
    <t>スウェットスティルネス</t>
  </si>
  <si>
    <t>グラビティデザート</t>
  </si>
  <si>
    <t>明鏡止水</t>
  </si>
  <si>
    <t>エンパイアシールド</t>
  </si>
  <si>
    <t>ゴッドハンド・タイガー</t>
  </si>
  <si>
    <t>女神大陸</t>
  </si>
  <si>
    <t>ゴッドフィンガーズ</t>
  </si>
  <si>
    <t>1.3.4にて抹消</t>
  </si>
  <si>
    <t>パッシブ</t>
  </si>
  <si>
    <t>橙</t>
  </si>
  <si>
    <t>金</t>
  </si>
  <si>
    <t>紫</t>
  </si>
  <si>
    <t>青</t>
  </si>
  <si>
    <t>緑</t>
  </si>
  <si>
    <t>ファウル</t>
  </si>
  <si>
    <t>ダッシュファウル率</t>
  </si>
  <si>
    <t>4% 2.5%</t>
  </si>
  <si>
    <t>3.7% 2.2%</t>
  </si>
  <si>
    <t>2.5% 2%</t>
  </si>
  <si>
    <t>2.2% 1.7%</t>
  </si>
  <si>
    <t>2% 1.5%</t>
  </si>
  <si>
    <t>ゾーン外ファウル率</t>
  </si>
  <si>
    <t>ダッシュテンション</t>
  </si>
  <si>
    <t>ラフアタック</t>
  </si>
  <si>
    <t>5% 3.5%</t>
  </si>
  <si>
    <t>4.5% 3.3%</t>
  </si>
  <si>
    <t>4% 3%</t>
  </si>
  <si>
    <t>3.5% 2.7%</t>
  </si>
  <si>
    <t>3% 2.5%</t>
  </si>
  <si>
    <t>絆</t>
  </si>
  <si>
    <t>パス獲得</t>
  </si>
  <si>
    <t>5.5% 4%</t>
  </si>
  <si>
    <t>5% 3.7%</t>
  </si>
  <si>
    <t>4.5% 3.5%</t>
  </si>
  <si>
    <t>4% 3.2%</t>
  </si>
  <si>
    <t>3.5% 3%</t>
  </si>
  <si>
    <t>スクランブル</t>
  </si>
  <si>
    <t>9% 7%</t>
  </si>
  <si>
    <t>8% 6%</t>
  </si>
  <si>
    <t>7% 5%</t>
  </si>
  <si>
    <t>6% 4%</t>
  </si>
  <si>
    <t>5% 3%</t>
  </si>
  <si>
    <t>ダイレクト</t>
  </si>
  <si>
    <t>3.2% 2.7%</t>
  </si>
  <si>
    <t>2.7% 2.3%</t>
  </si>
  <si>
    <t>減少軽減</t>
  </si>
  <si>
    <t>テンション</t>
  </si>
  <si>
    <t>ドレイン</t>
  </si>
  <si>
    <t>65% 50%</t>
  </si>
  <si>
    <t>50% 40%</t>
  </si>
  <si>
    <t>35% 30%</t>
  </si>
  <si>
    <t>15% 10%</t>
  </si>
  <si>
    <t>所有者のみ発動</t>
  </si>
  <si>
    <t>獲得</t>
  </si>
  <si>
    <t>5.4% 4%</t>
  </si>
  <si>
    <t>4.9% 3.7%</t>
  </si>
  <si>
    <t>4.6% 3.5%</t>
  </si>
  <si>
    <t>4.3% 3.2%</t>
  </si>
  <si>
    <t>100%時シュート</t>
  </si>
  <si>
    <t>5.5% 4.5%</t>
  </si>
  <si>
    <t>5.3% 4.3%</t>
  </si>
  <si>
    <t>5% 4%</t>
  </si>
  <si>
    <t>4.7% 3.7%</t>
  </si>
  <si>
    <t>フォーカス</t>
  </si>
  <si>
    <t>1.8% 1.4%</t>
  </si>
  <si>
    <t>1.7% 1.3%</t>
  </si>
  <si>
    <t>1.6% 1.2%</t>
  </si>
  <si>
    <t>1.5% 1.1%</t>
  </si>
  <si>
    <t>カウンター</t>
  </si>
  <si>
    <t>6% 4.5%</t>
  </si>
  <si>
    <t>5.5% 4.2%</t>
  </si>
  <si>
    <t>4.5% 3.7%</t>
  </si>
  <si>
    <t>4% 3.5%</t>
  </si>
  <si>
    <t>シュート</t>
  </si>
  <si>
    <t>2.7% 2.2%</t>
  </si>
  <si>
    <t>MFDF</t>
  </si>
  <si>
    <t>1.5% 1.2%</t>
  </si>
  <si>
    <t>1.2% 1.1%</t>
  </si>
  <si>
    <t>1% 1%</t>
  </si>
  <si>
    <t>KP</t>
  </si>
  <si>
    <t>正義</t>
  </si>
  <si>
    <t>吹き飛び</t>
  </si>
  <si>
    <t>7.5% 5.5%</t>
  </si>
  <si>
    <t>6.5% 4.5%</t>
  </si>
  <si>
    <t>敵ファウル</t>
  </si>
  <si>
    <t>7% 6%</t>
  </si>
  <si>
    <t>6.5% 5.5%</t>
  </si>
  <si>
    <t>6% 5%</t>
  </si>
  <si>
    <t>チーム城壁</t>
  </si>
  <si>
    <t>1.8% 1.3%</t>
  </si>
  <si>
    <t>1.7% 1.2%</t>
  </si>
  <si>
    <t>1.6% 1.1%</t>
  </si>
  <si>
    <t>1.5% 1%</t>
  </si>
  <si>
    <t>チームATDE</t>
  </si>
  <si>
    <t>2%1.5%</t>
  </si>
  <si>
    <t>1.8%1.3%</t>
  </si>
  <si>
    <t>1.7%1.2%</t>
  </si>
  <si>
    <t>必殺</t>
  </si>
  <si>
    <t>必殺率</t>
  </si>
  <si>
    <t>1.8% 1.2%</t>
  </si>
  <si>
    <t>1.4% 1%</t>
  </si>
  <si>
    <t>1% 0.8%</t>
  </si>
  <si>
    <t>0.4% 0.5%</t>
  </si>
  <si>
    <t>要注意？</t>
  </si>
  <si>
    <t>同点不利</t>
  </si>
  <si>
    <t>2.7% 2%</t>
  </si>
  <si>
    <t>2.4% 1.7%</t>
  </si>
  <si>
    <t>貫通</t>
  </si>
  <si>
    <t>3.6% 2.5%</t>
  </si>
  <si>
    <t>3% 2.2%</t>
  </si>
  <si>
    <t>2.6% 2%</t>
  </si>
  <si>
    <t>2.3% 1.7%</t>
  </si>
  <si>
    <t>必要テンション</t>
  </si>
  <si>
    <t>3.3% 2.2%</t>
  </si>
  <si>
    <t>3% 2%</t>
  </si>
  <si>
    <t>2.7% 1.7%</t>
  </si>
  <si>
    <t>2.5% 1.5%</t>
  </si>
  <si>
    <t>個人</t>
  </si>
  <si>
    <t>シュートAT</t>
  </si>
  <si>
    <t>4% 2%</t>
  </si>
  <si>
    <t>上枠2つに出ないキャラ有</t>
  </si>
  <si>
    <t>エリア外自身フォーカス</t>
  </si>
  <si>
    <t>周囲のシュートAT</t>
  </si>
  <si>
    <t>3.5% 2%</t>
  </si>
  <si>
    <t>3% 1.7%</t>
  </si>
  <si>
    <t>2% 1.2%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</si>
</sst>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6"/>
      <name val="Calibri"/>
      <family val="3"/>
      <charset val="128"/>
      <scheme val="minor"/>
    </font>
    <font>
      <sz val="11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B6D7A8"/>
        <bgColor rgb="FFB6D7A8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D679D6"/>
        <bgColor rgb="FFD679D6"/>
      </patternFill>
    </fill>
    <fill>
      <patternFill patternType="solid">
        <fgColor rgb="FF00FFFF"/>
        <bgColor rgb="FF00FFFF"/>
      </patternFill>
    </fill>
    <fill>
      <patternFill patternType="solid">
        <fgColor rgb="FF93C47D"/>
        <bgColor rgb="FF93C47D"/>
      </patternFill>
    </fill>
    <fill>
      <patternFill patternType="solid">
        <fgColor rgb="FFDF5656"/>
        <bgColor rgb="FFDF5656"/>
      </patternFill>
    </fill>
    <fill>
      <patternFill patternType="solid">
        <fgColor rgb="FFFFFFFF"/>
        <bgColor rgb="FFFFFFFF"/>
      </patternFill>
    </fill>
    <fill>
      <patternFill patternType="solid">
        <fgColor rgb="FF68E268"/>
        <bgColor rgb="FF68E268"/>
      </patternFill>
    </fill>
    <fill>
      <patternFill patternType="solid">
        <fgColor rgb="FF4A86E8"/>
        <bgColor rgb="FF4A86E8"/>
      </patternFill>
    </fill>
    <fill>
      <patternFill patternType="solid">
        <fgColor rgb="FFE69138"/>
        <bgColor rgb="FFE69138"/>
      </patternFill>
    </fill>
    <fill>
      <patternFill patternType="solid">
        <fgColor rgb="FF9FC5E8"/>
        <bgColor rgb="FF9FC5E8"/>
      </patternFill>
    </fill>
    <fill>
      <patternFill patternType="solid">
        <fgColor rgb="FFD5A6BD"/>
        <bgColor rgb="FFD5A6BD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3" fillId="0" borderId="0"/>
  </cellStyleXfs>
  <cellXfs count="40">
    <xf numFmtId="0" fontId="0" fillId="0" borderId="0" xfId="0" applyFont="1" applyAlignment="1"/>
    <xf numFmtId="0" fontId="1" fillId="2" borderId="0" xfId="0" applyFont="1" applyFill="1"/>
    <xf numFmtId="0" fontId="1" fillId="2" borderId="0" xfId="0" applyFont="1" applyFill="1" applyAlignment="1"/>
    <xf numFmtId="0" fontId="1" fillId="0" borderId="0" xfId="0" applyFont="1"/>
    <xf numFmtId="0" fontId="1" fillId="0" borderId="0" xfId="0" applyFont="1" applyAlignment="1">
      <alignment horizontal="right"/>
    </xf>
    <xf numFmtId="0" fontId="1" fillId="3" borderId="0" xfId="0" applyFont="1" applyFill="1"/>
    <xf numFmtId="0" fontId="1" fillId="3" borderId="0" xfId="0" applyFont="1" applyFill="1" applyAlignment="1"/>
    <xf numFmtId="0" fontId="1" fillId="0" borderId="0" xfId="0" applyFont="1" applyAlignment="1"/>
    <xf numFmtId="0" fontId="1" fillId="3" borderId="0" xfId="0" applyFont="1" applyFill="1" applyAlignment="1">
      <alignment horizontal="left"/>
    </xf>
    <xf numFmtId="0" fontId="1" fillId="3" borderId="0" xfId="0" applyFont="1" applyFill="1" applyAlignment="1">
      <alignment horizontal="left"/>
    </xf>
    <xf numFmtId="0" fontId="1" fillId="3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1" fillId="9" borderId="1" xfId="0" applyFont="1" applyFill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5" borderId="1" xfId="0" applyFont="1" applyFill="1" applyBorder="1" applyAlignment="1">
      <alignment horizontal="left"/>
    </xf>
    <xf numFmtId="0" fontId="1" fillId="10" borderId="1" xfId="0" applyFont="1" applyFill="1" applyBorder="1" applyAlignment="1">
      <alignment horizontal="left"/>
    </xf>
    <xf numFmtId="9" fontId="1" fillId="0" borderId="1" xfId="0" applyNumberFormat="1" applyFont="1" applyBorder="1" applyAlignment="1">
      <alignment horizontal="left"/>
    </xf>
    <xf numFmtId="0" fontId="1" fillId="11" borderId="1" xfId="0" applyFont="1" applyFill="1" applyBorder="1" applyAlignment="1">
      <alignment horizontal="left"/>
    </xf>
    <xf numFmtId="0" fontId="1" fillId="12" borderId="1" xfId="0" applyFont="1" applyFill="1" applyBorder="1" applyAlignment="1">
      <alignment horizontal="left"/>
    </xf>
    <xf numFmtId="0" fontId="1" fillId="13" borderId="1" xfId="0" applyFont="1" applyFill="1" applyBorder="1" applyAlignment="1">
      <alignment horizontal="left"/>
    </xf>
    <xf numFmtId="0" fontId="1" fillId="14" borderId="1" xfId="0" applyFont="1" applyFill="1" applyBorder="1" applyAlignment="1">
      <alignment horizontal="left"/>
    </xf>
    <xf numFmtId="10" fontId="1" fillId="0" borderId="1" xfId="0" applyNumberFormat="1" applyFont="1" applyBorder="1" applyAlignment="1">
      <alignment horizontal="left"/>
    </xf>
    <xf numFmtId="0" fontId="1" fillId="15" borderId="1" xfId="0" applyFont="1" applyFill="1" applyBorder="1" applyAlignment="1">
      <alignment horizontal="left"/>
    </xf>
    <xf numFmtId="0" fontId="1" fillId="15" borderId="2" xfId="0" applyFont="1" applyFill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15" borderId="1" xfId="0" applyFont="1" applyFill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15" borderId="0" xfId="0" applyFont="1" applyFill="1" applyAlignment="1">
      <alignment horizontal="left"/>
    </xf>
    <xf numFmtId="0" fontId="3" fillId="0" borderId="0" xfId="1"/>
  </cellXfs>
  <cellStyles count="2">
    <cellStyle name="標準" xfId="0" builtinId="0"/>
    <cellStyle name="標準 2" xfId="1" xr:uid="{CC902F24-2576-4931-B001-40148AF40B72}"/>
  </cellStyles>
  <dxfs count="49">
    <dxf>
      <fill>
        <patternFill patternType="solid">
          <fgColor rgb="FF674EA7"/>
          <bgColor rgb="FF674EA7"/>
        </patternFill>
      </fill>
    </dxf>
    <dxf>
      <fill>
        <patternFill patternType="solid">
          <fgColor rgb="FFB45F06"/>
          <bgColor rgb="FFB45F06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00FFFF"/>
          <bgColor rgb="FF00FFFF"/>
        </patternFill>
      </fill>
    </dxf>
    <dxf>
      <fill>
        <patternFill patternType="solid">
          <fgColor rgb="FF674EA7"/>
          <bgColor rgb="FF674EA7"/>
        </patternFill>
      </fill>
    </dxf>
    <dxf>
      <fill>
        <patternFill patternType="solid">
          <fgColor rgb="FFB45F06"/>
          <bgColor rgb="FFB45F06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00FFFF"/>
          <bgColor rgb="FF00FFFF"/>
        </patternFill>
      </fill>
    </dxf>
    <dxf>
      <fill>
        <patternFill patternType="solid">
          <fgColor rgb="FF674EA7"/>
          <bgColor rgb="FF674EA7"/>
        </patternFill>
      </fill>
    </dxf>
    <dxf>
      <fill>
        <patternFill patternType="solid">
          <fgColor rgb="FFB45F06"/>
          <bgColor rgb="FFB45F06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00FFFF"/>
          <bgColor rgb="FF00FFFF"/>
        </patternFill>
      </fill>
    </dxf>
    <dxf>
      <fill>
        <patternFill patternType="solid">
          <fgColor rgb="FF674EA7"/>
          <bgColor rgb="FF674EA7"/>
        </patternFill>
      </fill>
    </dxf>
    <dxf>
      <fill>
        <patternFill patternType="solid">
          <fgColor rgb="FFB45F06"/>
          <bgColor rgb="FFB45F06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00FFFF"/>
          <bgColor rgb="FF00FFFF"/>
        </patternFill>
      </fill>
    </dxf>
    <dxf>
      <fill>
        <patternFill patternType="solid">
          <fgColor rgb="FF674EA7"/>
          <bgColor rgb="FF674EA7"/>
        </patternFill>
      </fill>
    </dxf>
    <dxf>
      <fill>
        <patternFill patternType="solid">
          <fgColor rgb="FFB45F06"/>
          <bgColor rgb="FFB45F06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00FFFF"/>
          <bgColor rgb="FF00FFFF"/>
        </patternFill>
      </fill>
    </dxf>
    <dxf>
      <fill>
        <patternFill patternType="solid">
          <fgColor rgb="FFCCCCCC"/>
          <bgColor rgb="FFCCCCCC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00FFFF"/>
          <bgColor rgb="FF00FFFF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674EA7"/>
          <bgColor rgb="FF674EA7"/>
        </patternFill>
      </fill>
    </dxf>
    <dxf>
      <fill>
        <patternFill patternType="solid">
          <fgColor rgb="FFB45F06"/>
          <bgColor rgb="FFB45F06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00FFFF"/>
          <bgColor rgb="FF00FFFF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DD7E6B"/>
          <bgColor rgb="FFDD7E6B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name="必殺技一覧（テーブル）-style" pivot="0" count="4" xr9:uid="{00000000-0011-0000-FFFF-FFFF00000000}">
      <tableStyleElement type="wholeTable" size="0" dxfId="48"/>
      <tableStyleElement type="headerRow" dxfId="47"/>
      <tableStyleElement type="firstRowStripe" dxfId="46"/>
      <tableStyleElement type="secondRowStripe" dxfId="45"/>
    </tableStyle>
    <tableStyle name="超次元パワー一覧-style" pivot="0" count="4" xr9:uid="{00000000-0011-0000-FFFF-FFFF01000000}">
      <tableStyleElement type="wholeTable" size="0" dxfId="44"/>
      <tableStyleElement type="headerRow" dxfId="43"/>
      <tableStyleElement type="firstRowStripe" dxfId="42"/>
      <tableStyleElement type="secondRowStripe" dxfId="4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206265" cy="4441738"/>
    <xdr:pic>
      <xdr:nvPicPr>
        <xdr:cNvPr id="2" name="図 1">
          <a:extLst>
            <a:ext uri="{FF2B5EF4-FFF2-40B4-BE49-F238E27FC236}">
              <a16:creationId xmlns:a16="http://schemas.microsoft.com/office/drawing/2014/main" id="{935D3928-376D-4EA7-9D2B-3D23389AC70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83" t="4488" r="5208" b="51305"/>
        <a:stretch/>
      </xdr:blipFill>
      <xdr:spPr>
        <a:xfrm>
          <a:off x="0" y="0"/>
          <a:ext cx="6206265" cy="444173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18</xdr:row>
      <xdr:rowOff>103696</xdr:rowOff>
    </xdr:from>
    <xdr:ext cx="6972274" cy="2272716"/>
    <xdr:pic>
      <xdr:nvPicPr>
        <xdr:cNvPr id="3" name="図 2">
          <a:extLst>
            <a:ext uri="{FF2B5EF4-FFF2-40B4-BE49-F238E27FC236}">
              <a16:creationId xmlns:a16="http://schemas.microsoft.com/office/drawing/2014/main" id="{D6ECD56E-99C1-4C5E-B21E-664418D1283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35" r="-1"/>
        <a:stretch/>
      </xdr:blipFill>
      <xdr:spPr>
        <a:xfrm>
          <a:off x="0" y="4345758"/>
          <a:ext cx="6972274" cy="2272716"/>
        </a:xfrm>
        <a:prstGeom prst="rect">
          <a:avLst/>
        </a:prstGeom>
      </xdr:spPr>
    </xdr:pic>
    <xdr:clientData/>
  </xdr:oneCellAnchor>
  <xdr:oneCellAnchor>
    <xdr:from>
      <xdr:col>5</xdr:col>
      <xdr:colOff>537328</xdr:colOff>
      <xdr:row>9</xdr:row>
      <xdr:rowOff>94268</xdr:rowOff>
    </xdr:from>
    <xdr:ext cx="3816084" cy="3265103"/>
    <xdr:pic>
      <xdr:nvPicPr>
        <xdr:cNvPr id="4" name="図 3">
          <a:extLst>
            <a:ext uri="{FF2B5EF4-FFF2-40B4-BE49-F238E27FC236}">
              <a16:creationId xmlns:a16="http://schemas.microsoft.com/office/drawing/2014/main" id="{EF0CAD0A-641D-42B1-9B63-8223826C4FD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83" t="53470" r="21372" b="3183"/>
        <a:stretch/>
      </xdr:blipFill>
      <xdr:spPr>
        <a:xfrm>
          <a:off x="3930977" y="2215299"/>
          <a:ext cx="3816084" cy="3265103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G448"/>
  <sheetViews>
    <sheetView workbookViewId="0"/>
  </sheetViews>
  <sheetFormatPr defaultColWidth="14.42578125" defaultRowHeight="15.05" customHeight="1" x14ac:dyDescent="0.25"/>
  <cols>
    <col min="1" max="1" width="18" customWidth="1"/>
    <col min="2" max="2" width="26" customWidth="1"/>
    <col min="6" max="6" width="25.7109375" customWidth="1"/>
    <col min="7" max="7" width="21.140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</row>
    <row r="2" spans="1:7" x14ac:dyDescent="0.25">
      <c r="A2" s="3" t="str">
        <f ca="1">IFERROR(__xludf.DUMMYFUNCTION("QUERY(
  {
    'シュート'!A2:G1000;
    'オフェンス'!A2:G1000;
    'ディフェンス'!A2:G1000;
    'キーパー'!A2:G1000
  },
  ""select * where Col1 is not null"",
  1
)
"),"シュート技")</f>
        <v>シュート技</v>
      </c>
      <c r="B2" s="3" t="str">
        <f ca="1">IFERROR(__xludf.DUMMYFUNCTION("""COMPUTED_VALUE"""),"ループシュート")</f>
        <v>ループシュート</v>
      </c>
      <c r="C2" s="3" t="str">
        <f ca="1">IFERROR(__xludf.DUMMYFUNCTION("""COMPUTED_VALUE"""),"リアルスキル")</f>
        <v>リアルスキル</v>
      </c>
      <c r="D2" s="4" t="str">
        <f ca="1">IFERROR(__xludf.DUMMYFUNCTION("""COMPUTED_VALUE"""),"30")</f>
        <v>30</v>
      </c>
      <c r="E2" s="4" t="str">
        <f ca="1">IFERROR(__xludf.DUMMYFUNCTION("""COMPUTED_VALUE"""),"30")</f>
        <v>30</v>
      </c>
      <c r="F2" s="3" t="str">
        <f ca="1">IFERROR(__xludf.DUMMYFUNCTION("""COMPUTED_VALUE"""),"特訓ショップ")</f>
        <v>特訓ショップ</v>
      </c>
      <c r="G2" s="3" t="str">
        <f ca="1">IFERROR(__xludf.DUMMYFUNCTION("""COMPUTED_VALUE"""),"")</f>
        <v/>
      </c>
    </row>
    <row r="3" spans="1:7" x14ac:dyDescent="0.25">
      <c r="A3" s="3" t="str">
        <f ca="1">IFERROR(__xludf.DUMMYFUNCTION("""COMPUTED_VALUE"""),"シュート技")</f>
        <v>シュート技</v>
      </c>
      <c r="B3" s="3" t="str">
        <f ca="1">IFERROR(__xludf.DUMMYFUNCTION("""COMPUTED_VALUE"""),"曲がるシュート")</f>
        <v>曲がるシュート</v>
      </c>
      <c r="C3" s="3" t="str">
        <f ca="1">IFERROR(__xludf.DUMMYFUNCTION("""COMPUTED_VALUE"""),"リアルスキル")</f>
        <v>リアルスキル</v>
      </c>
      <c r="D3" s="3">
        <f ca="1">IFERROR(__xludf.DUMMYFUNCTION("""COMPUTED_VALUE"""),30)</f>
        <v>30</v>
      </c>
      <c r="E3" s="3">
        <f ca="1">IFERROR(__xludf.DUMMYFUNCTION("""COMPUTED_VALUE"""),30)</f>
        <v>30</v>
      </c>
      <c r="F3" s="3" t="str">
        <f ca="1">IFERROR(__xludf.DUMMYFUNCTION("""COMPUTED_VALUE"""),"特訓ショップ")</f>
        <v>特訓ショップ</v>
      </c>
      <c r="G3" s="3"/>
    </row>
    <row r="4" spans="1:7" x14ac:dyDescent="0.25">
      <c r="A4" s="3" t="str">
        <f ca="1">IFERROR(__xludf.DUMMYFUNCTION("""COMPUTED_VALUE"""),"シュート技")</f>
        <v>シュート技</v>
      </c>
      <c r="B4" s="3" t="str">
        <f ca="1">IFERROR(__xludf.DUMMYFUNCTION("""COMPUTED_VALUE"""),"ワンバンシュート")</f>
        <v>ワンバンシュート</v>
      </c>
      <c r="C4" s="3" t="str">
        <f ca="1">IFERROR(__xludf.DUMMYFUNCTION("""COMPUTED_VALUE"""),"リアルスキル")</f>
        <v>リアルスキル</v>
      </c>
      <c r="D4" s="3">
        <f ca="1">IFERROR(__xludf.DUMMYFUNCTION("""COMPUTED_VALUE"""),30)</f>
        <v>30</v>
      </c>
      <c r="E4" s="3">
        <f ca="1">IFERROR(__xludf.DUMMYFUNCTION("""COMPUTED_VALUE"""),30)</f>
        <v>30</v>
      </c>
      <c r="F4" s="3" t="str">
        <f ca="1">IFERROR(__xludf.DUMMYFUNCTION("""COMPUTED_VALUE"""),"特訓ショップ")</f>
        <v>特訓ショップ</v>
      </c>
      <c r="G4" s="3"/>
    </row>
    <row r="5" spans="1:7" x14ac:dyDescent="0.25">
      <c r="A5" s="3" t="str">
        <f ca="1">IFERROR(__xludf.DUMMYFUNCTION("""COMPUTED_VALUE"""),"シュート技")</f>
        <v>シュート技</v>
      </c>
      <c r="B5" s="3" t="str">
        <f ca="1">IFERROR(__xludf.DUMMYFUNCTION("""COMPUTED_VALUE"""),"パワーシュート")</f>
        <v>パワーシュート</v>
      </c>
      <c r="C5" s="3" t="str">
        <f ca="1">IFERROR(__xludf.DUMMYFUNCTION("""COMPUTED_VALUE"""),"リアルスキル")</f>
        <v>リアルスキル</v>
      </c>
      <c r="D5" s="3">
        <f ca="1">IFERROR(__xludf.DUMMYFUNCTION("""COMPUTED_VALUE"""),30)</f>
        <v>30</v>
      </c>
      <c r="E5" s="3">
        <f ca="1">IFERROR(__xludf.DUMMYFUNCTION("""COMPUTED_VALUE"""),30)</f>
        <v>30</v>
      </c>
      <c r="F5" s="3" t="str">
        <f ca="1">IFERROR(__xludf.DUMMYFUNCTION("""COMPUTED_VALUE"""),"特訓ショップ")</f>
        <v>特訓ショップ</v>
      </c>
      <c r="G5" s="3"/>
    </row>
    <row r="6" spans="1:7" x14ac:dyDescent="0.25">
      <c r="A6" s="3" t="str">
        <f ca="1">IFERROR(__xludf.DUMMYFUNCTION("""COMPUTED_VALUE"""),"シュート技")</f>
        <v>シュート技</v>
      </c>
      <c r="B6" s="3" t="str">
        <f ca="1">IFERROR(__xludf.DUMMYFUNCTION("""COMPUTED_VALUE"""),"グラウンダーシュート")</f>
        <v>グラウンダーシュート</v>
      </c>
      <c r="C6" s="3" t="str">
        <f ca="1">IFERROR(__xludf.DUMMYFUNCTION("""COMPUTED_VALUE"""),"リアルスキル")</f>
        <v>リアルスキル</v>
      </c>
      <c r="D6" s="3">
        <f ca="1">IFERROR(__xludf.DUMMYFUNCTION("""COMPUTED_VALUE"""),30)</f>
        <v>30</v>
      </c>
      <c r="E6" s="3">
        <f ca="1">IFERROR(__xludf.DUMMYFUNCTION("""COMPUTED_VALUE"""),30)</f>
        <v>30</v>
      </c>
      <c r="F6" s="3" t="str">
        <f ca="1">IFERROR(__xludf.DUMMYFUNCTION("""COMPUTED_VALUE"""),"特訓ショップ")</f>
        <v>特訓ショップ</v>
      </c>
      <c r="G6" s="3"/>
    </row>
    <row r="7" spans="1:7" x14ac:dyDescent="0.25">
      <c r="A7" s="3" t="str">
        <f ca="1">IFERROR(__xludf.DUMMYFUNCTION("""COMPUTED_VALUE"""),"シュート技")</f>
        <v>シュート技</v>
      </c>
      <c r="B7" s="3" t="str">
        <f ca="1">IFERROR(__xludf.DUMMYFUNCTION("""COMPUTED_VALUE"""),"ツナミブースト")</f>
        <v>ツナミブースト</v>
      </c>
      <c r="C7" s="3" t="str">
        <f ca="1">IFERROR(__xludf.DUMMYFUNCTION("""COMPUTED_VALUE"""),"風")</f>
        <v>風</v>
      </c>
      <c r="D7" s="3">
        <f ca="1">IFERROR(__xludf.DUMMYFUNCTION("""COMPUTED_VALUE"""),50)</f>
        <v>50</v>
      </c>
      <c r="E7" s="3">
        <f ca="1">IFERROR(__xludf.DUMMYFUNCTION("""COMPUTED_VALUE"""),50)</f>
        <v>50</v>
      </c>
      <c r="F7" s="3" t="str">
        <f ca="1">IFERROR(__xludf.DUMMYFUNCTION("""COMPUTED_VALUE"""),"クロニクル百貨店")</f>
        <v>クロニクル百貨店</v>
      </c>
      <c r="G7" s="3" t="str">
        <f ca="1">IFERROR(__xludf.DUMMYFUNCTION("""COMPUTED_VALUE"""),"ロングシュート")</f>
        <v>ロングシュート</v>
      </c>
    </row>
    <row r="8" spans="1:7" x14ac:dyDescent="0.25">
      <c r="A8" s="3" t="str">
        <f ca="1">IFERROR(__xludf.DUMMYFUNCTION("""COMPUTED_VALUE"""),"シュート技")</f>
        <v>シュート技</v>
      </c>
      <c r="B8" s="3" t="str">
        <f ca="1">IFERROR(__xludf.DUMMYFUNCTION("""COMPUTED_VALUE"""),"レインボーループ")</f>
        <v>レインボーループ</v>
      </c>
      <c r="C8" s="3" t="str">
        <f ca="1">IFERROR(__xludf.DUMMYFUNCTION("""COMPUTED_VALUE"""),"山")</f>
        <v>山</v>
      </c>
      <c r="D8" s="3">
        <f ca="1">IFERROR(__xludf.DUMMYFUNCTION("""COMPUTED_VALUE"""),50)</f>
        <v>50</v>
      </c>
      <c r="E8" s="3">
        <f ca="1">IFERROR(__xludf.DUMMYFUNCTION("""COMPUTED_VALUE"""),50)</f>
        <v>50</v>
      </c>
      <c r="F8" s="3" t="str">
        <f ca="1">IFERROR(__xludf.DUMMYFUNCTION("""COMPUTED_VALUE"""),"特訓ショップ")</f>
        <v>特訓ショップ</v>
      </c>
      <c r="G8" s="3" t="str">
        <f ca="1">IFERROR(__xludf.DUMMYFUNCTION("""COMPUTED_VALUE"""),"ロングシュート")</f>
        <v>ロングシュート</v>
      </c>
    </row>
    <row r="9" spans="1:7" x14ac:dyDescent="0.25">
      <c r="A9" s="3" t="str">
        <f ca="1">IFERROR(__xludf.DUMMYFUNCTION("""COMPUTED_VALUE"""),"シュート技")</f>
        <v>シュート技</v>
      </c>
      <c r="B9" s="3" t="str">
        <f ca="1">IFERROR(__xludf.DUMMYFUNCTION("""COMPUTED_VALUE"""),"フライングフィッシュ")</f>
        <v>フライングフィッシュ</v>
      </c>
      <c r="C9" s="3" t="str">
        <f ca="1">IFERROR(__xludf.DUMMYFUNCTION("""COMPUTED_VALUE"""),"風")</f>
        <v>風</v>
      </c>
      <c r="D9" s="3">
        <f ca="1">IFERROR(__xludf.DUMMYFUNCTION("""COMPUTED_VALUE"""),50)</f>
        <v>50</v>
      </c>
      <c r="E9" s="3">
        <f ca="1">IFERROR(__xludf.DUMMYFUNCTION("""COMPUTED_VALUE"""),50)</f>
        <v>50</v>
      </c>
      <c r="F9" s="3" t="str">
        <f ca="1">IFERROR(__xludf.DUMMYFUNCTION("""COMPUTED_VALUE"""),"秘宝堂")</f>
        <v>秘宝堂</v>
      </c>
      <c r="G9" s="3" t="str">
        <f ca="1">IFERROR(__xludf.DUMMYFUNCTION("""COMPUTED_VALUE"""),"ロングシュート")</f>
        <v>ロングシュート</v>
      </c>
    </row>
    <row r="10" spans="1:7" x14ac:dyDescent="0.25">
      <c r="A10" s="3" t="str">
        <f ca="1">IFERROR(__xludf.DUMMYFUNCTION("""COMPUTED_VALUE"""),"シュート技")</f>
        <v>シュート技</v>
      </c>
      <c r="B10" s="3" t="str">
        <f ca="1">IFERROR(__xludf.DUMMYFUNCTION("""COMPUTED_VALUE"""),"プラズマボール")</f>
        <v>プラズマボール</v>
      </c>
      <c r="C10" s="3" t="str">
        <f ca="1">IFERROR(__xludf.DUMMYFUNCTION("""COMPUTED_VALUE"""),"風")</f>
        <v>風</v>
      </c>
      <c r="D10" s="3">
        <f ca="1">IFERROR(__xludf.DUMMYFUNCTION("""COMPUTED_VALUE"""),50)</f>
        <v>50</v>
      </c>
      <c r="E10" s="3">
        <f ca="1">IFERROR(__xludf.DUMMYFUNCTION("""COMPUTED_VALUE"""),50)</f>
        <v>50</v>
      </c>
      <c r="F10" s="3" t="str">
        <f ca="1">IFERROR(__xludf.DUMMYFUNCTION("""COMPUTED_VALUE"""),"秘宝堂")</f>
        <v>秘宝堂</v>
      </c>
      <c r="G10" s="3" t="str">
        <f ca="1">IFERROR(__xludf.DUMMYFUNCTION("""COMPUTED_VALUE"""),"ロングシュート")</f>
        <v>ロングシュート</v>
      </c>
    </row>
    <row r="11" spans="1:7" x14ac:dyDescent="0.25">
      <c r="A11" s="3" t="str">
        <f ca="1">IFERROR(__xludf.DUMMYFUNCTION("""COMPUTED_VALUE"""),"シュート技")</f>
        <v>シュート技</v>
      </c>
      <c r="B11" s="3" t="str">
        <f ca="1">IFERROR(__xludf.DUMMYFUNCTION("""COMPUTED_VALUE"""),"クンフーアタック")</f>
        <v>クンフーアタック</v>
      </c>
      <c r="C11" s="3" t="str">
        <f ca="1">IFERROR(__xludf.DUMMYFUNCTION("""COMPUTED_VALUE"""),"山")</f>
        <v>山</v>
      </c>
      <c r="D11" s="3">
        <f ca="1">IFERROR(__xludf.DUMMYFUNCTION("""COMPUTED_VALUE"""),50)</f>
        <v>50</v>
      </c>
      <c r="E11" s="3">
        <f ca="1">IFERROR(__xludf.DUMMYFUNCTION("""COMPUTED_VALUE"""),50)</f>
        <v>50</v>
      </c>
      <c r="F11" s="3" t="str">
        <f ca="1">IFERROR(__xludf.DUMMYFUNCTION("""COMPUTED_VALUE"""),"VSストア")</f>
        <v>VSストア</v>
      </c>
      <c r="G11" s="3" t="str">
        <f ca="1">IFERROR(__xludf.DUMMYFUNCTION("""COMPUTED_VALUE"""),"カウンターシュート")</f>
        <v>カウンターシュート</v>
      </c>
    </row>
    <row r="12" spans="1:7" x14ac:dyDescent="0.25">
      <c r="A12" s="3" t="str">
        <f ca="1">IFERROR(__xludf.DUMMYFUNCTION("""COMPUTED_VALUE"""),"シュート技")</f>
        <v>シュート技</v>
      </c>
      <c r="B12" s="3" t="str">
        <f ca="1">IFERROR(__xludf.DUMMYFUNCTION("""COMPUTED_VALUE"""),"ぶっとびジャンプ")</f>
        <v>ぶっとびジャンプ</v>
      </c>
      <c r="C12" s="3" t="str">
        <f ca="1">IFERROR(__xludf.DUMMYFUNCTION("""COMPUTED_VALUE"""),"山")</f>
        <v>山</v>
      </c>
      <c r="D12" s="3">
        <f ca="1">IFERROR(__xludf.DUMMYFUNCTION("""COMPUTED_VALUE"""),50)</f>
        <v>50</v>
      </c>
      <c r="E12" s="3">
        <f ca="1">IFERROR(__xludf.DUMMYFUNCTION("""COMPUTED_VALUE"""),50)</f>
        <v>50</v>
      </c>
      <c r="F12" s="3" t="str">
        <f ca="1">IFERROR(__xludf.DUMMYFUNCTION("""COMPUTED_VALUE"""),"クロニクル百貨店")</f>
        <v>クロニクル百貨店</v>
      </c>
      <c r="G12" s="3" t="str">
        <f ca="1">IFERROR(__xludf.DUMMYFUNCTION("""COMPUTED_VALUE"""),"カウンターシュート")</f>
        <v>カウンターシュート</v>
      </c>
    </row>
    <row r="13" spans="1:7" x14ac:dyDescent="0.25">
      <c r="A13" s="3" t="str">
        <f ca="1">IFERROR(__xludf.DUMMYFUNCTION("""COMPUTED_VALUE"""),"シュート技")</f>
        <v>シュート技</v>
      </c>
      <c r="B13" s="3" t="str">
        <f ca="1">IFERROR(__xludf.DUMMYFUNCTION("""COMPUTED_VALUE"""),"百烈ショット")</f>
        <v>百烈ショット</v>
      </c>
      <c r="C13" s="3" t="str">
        <f ca="1">IFERROR(__xludf.DUMMYFUNCTION("""COMPUTED_VALUE"""),"林")</f>
        <v>林</v>
      </c>
      <c r="D13" s="3">
        <f ca="1">IFERROR(__xludf.DUMMYFUNCTION("""COMPUTED_VALUE"""),50)</f>
        <v>50</v>
      </c>
      <c r="E13" s="3">
        <f ca="1">IFERROR(__xludf.DUMMYFUNCTION("""COMPUTED_VALUE"""),50)</f>
        <v>50</v>
      </c>
      <c r="F13" s="3" t="str">
        <f ca="1">IFERROR(__xludf.DUMMYFUNCTION("""COMPUTED_VALUE"""),"特訓ショップ")</f>
        <v>特訓ショップ</v>
      </c>
      <c r="G13" s="3"/>
    </row>
    <row r="14" spans="1:7" x14ac:dyDescent="0.25">
      <c r="A14" s="3" t="str">
        <f ca="1">IFERROR(__xludf.DUMMYFUNCTION("""COMPUTED_VALUE"""),"シュート技")</f>
        <v>シュート技</v>
      </c>
      <c r="B14" s="3" t="str">
        <f ca="1">IFERROR(__xludf.DUMMYFUNCTION("""COMPUTED_VALUE"""),"ドラゴンクラッシュ")</f>
        <v>ドラゴンクラッシュ</v>
      </c>
      <c r="C14" s="3" t="str">
        <f ca="1">IFERROR(__xludf.DUMMYFUNCTION("""COMPUTED_VALUE"""),"林")</f>
        <v>林</v>
      </c>
      <c r="D14" s="3">
        <f ca="1">IFERROR(__xludf.DUMMYFUNCTION("""COMPUTED_VALUE"""),50)</f>
        <v>50</v>
      </c>
      <c r="E14" s="3">
        <f ca="1">IFERROR(__xludf.DUMMYFUNCTION("""COMPUTED_VALUE"""),50)</f>
        <v>50</v>
      </c>
      <c r="F14" s="3" t="str">
        <f ca="1">IFERROR(__xludf.DUMMYFUNCTION("""COMPUTED_VALUE"""),"クロニクル百貨店")</f>
        <v>クロニクル百貨店</v>
      </c>
      <c r="G14" s="3"/>
    </row>
    <row r="15" spans="1:7" x14ac:dyDescent="0.25">
      <c r="A15" s="3" t="str">
        <f ca="1">IFERROR(__xludf.DUMMYFUNCTION("""COMPUTED_VALUE"""),"シュート技")</f>
        <v>シュート技</v>
      </c>
      <c r="B15" s="3" t="str">
        <f ca="1">IFERROR(__xludf.DUMMYFUNCTION("""COMPUTED_VALUE"""),"グレネードショット")</f>
        <v>グレネードショット</v>
      </c>
      <c r="C15" s="3" t="str">
        <f ca="1">IFERROR(__xludf.DUMMYFUNCTION("""COMPUTED_VALUE"""),"火")</f>
        <v>火</v>
      </c>
      <c r="D15" s="3">
        <f ca="1">IFERROR(__xludf.DUMMYFUNCTION("""COMPUTED_VALUE"""),50)</f>
        <v>50</v>
      </c>
      <c r="E15" s="3">
        <f ca="1">IFERROR(__xludf.DUMMYFUNCTION("""COMPUTED_VALUE"""),50)</f>
        <v>50</v>
      </c>
      <c r="F15" s="3" t="str">
        <f ca="1">IFERROR(__xludf.DUMMYFUNCTION("""COMPUTED_VALUE"""),"特訓ショップ")</f>
        <v>特訓ショップ</v>
      </c>
      <c r="G15" s="3"/>
    </row>
    <row r="16" spans="1:7" x14ac:dyDescent="0.25">
      <c r="A16" s="3" t="str">
        <f ca="1">IFERROR(__xludf.DUMMYFUNCTION("""COMPUTED_VALUE"""),"シュート技")</f>
        <v>シュート技</v>
      </c>
      <c r="B16" s="3" t="str">
        <f ca="1">IFERROR(__xludf.DUMMYFUNCTION("""COMPUTED_VALUE"""),"ファントムシュート")</f>
        <v>ファントムシュート</v>
      </c>
      <c r="C16" s="3" t="str">
        <f ca="1">IFERROR(__xludf.DUMMYFUNCTION("""COMPUTED_VALUE"""),"林")</f>
        <v>林</v>
      </c>
      <c r="D16" s="3">
        <f ca="1">IFERROR(__xludf.DUMMYFUNCTION("""COMPUTED_VALUE"""),50)</f>
        <v>50</v>
      </c>
      <c r="E16" s="3">
        <f ca="1">IFERROR(__xludf.DUMMYFUNCTION("""COMPUTED_VALUE"""),50)</f>
        <v>50</v>
      </c>
      <c r="F16" s="3" t="str">
        <f ca="1">IFERROR(__xludf.DUMMYFUNCTION("""COMPUTED_VALUE"""),"秘宝堂")</f>
        <v>秘宝堂</v>
      </c>
      <c r="G16" s="3"/>
    </row>
    <row r="17" spans="1:7" x14ac:dyDescent="0.25">
      <c r="A17" s="3" t="str">
        <f ca="1">IFERROR(__xludf.DUMMYFUNCTION("""COMPUTED_VALUE"""),"シュート技")</f>
        <v>シュート技</v>
      </c>
      <c r="B17" s="3" t="str">
        <f ca="1">IFERROR(__xludf.DUMMYFUNCTION("""COMPUTED_VALUE"""),"スピニングシュート")</f>
        <v>スピニングシュート</v>
      </c>
      <c r="C17" s="3" t="str">
        <f ca="1">IFERROR(__xludf.DUMMYFUNCTION("""COMPUTED_VALUE"""),"風")</f>
        <v>風</v>
      </c>
      <c r="D17" s="3">
        <f ca="1">IFERROR(__xludf.DUMMYFUNCTION("""COMPUTED_VALUE"""),50)</f>
        <v>50</v>
      </c>
      <c r="E17" s="3">
        <f ca="1">IFERROR(__xludf.DUMMYFUNCTION("""COMPUTED_VALUE"""),50)</f>
        <v>50</v>
      </c>
      <c r="F17" s="3" t="str">
        <f ca="1">IFERROR(__xludf.DUMMYFUNCTION("""COMPUTED_VALUE"""),"特訓ショップ")</f>
        <v>特訓ショップ</v>
      </c>
      <c r="G17" s="3"/>
    </row>
    <row r="18" spans="1:7" x14ac:dyDescent="0.25">
      <c r="A18" s="3" t="str">
        <f ca="1">IFERROR(__xludf.DUMMYFUNCTION("""COMPUTED_VALUE"""),"シュート技")</f>
        <v>シュート技</v>
      </c>
      <c r="B18" s="3" t="str">
        <f ca="1">IFERROR(__xludf.DUMMYFUNCTION("""COMPUTED_VALUE"""),"ローリングキック")</f>
        <v>ローリングキック</v>
      </c>
      <c r="C18" s="3" t="str">
        <f ca="1">IFERROR(__xludf.DUMMYFUNCTION("""COMPUTED_VALUE"""),"林")</f>
        <v>林</v>
      </c>
      <c r="D18" s="3">
        <f ca="1">IFERROR(__xludf.DUMMYFUNCTION("""COMPUTED_VALUE"""),50)</f>
        <v>50</v>
      </c>
      <c r="E18" s="3">
        <f ca="1">IFERROR(__xludf.DUMMYFUNCTION("""COMPUTED_VALUE"""),50)</f>
        <v>50</v>
      </c>
      <c r="F18" s="3" t="str">
        <f ca="1">IFERROR(__xludf.DUMMYFUNCTION("""COMPUTED_VALUE"""),"秘宝堂")</f>
        <v>秘宝堂</v>
      </c>
      <c r="G18" s="3"/>
    </row>
    <row r="19" spans="1:7" x14ac:dyDescent="0.25">
      <c r="A19" s="3" t="str">
        <f ca="1">IFERROR(__xludf.DUMMYFUNCTION("""COMPUTED_VALUE"""),"シュート技")</f>
        <v>シュート技</v>
      </c>
      <c r="B19" s="3" t="str">
        <f ca="1">IFERROR(__xludf.DUMMYFUNCTION("""COMPUTED_VALUE"""),"分身シュート")</f>
        <v>分身シュート</v>
      </c>
      <c r="C19" s="3" t="str">
        <f ca="1">IFERROR(__xludf.DUMMYFUNCTION("""COMPUTED_VALUE"""),"林")</f>
        <v>林</v>
      </c>
      <c r="D19" s="3">
        <f ca="1">IFERROR(__xludf.DUMMYFUNCTION("""COMPUTED_VALUE"""),50)</f>
        <v>50</v>
      </c>
      <c r="E19" s="3">
        <f ca="1">IFERROR(__xludf.DUMMYFUNCTION("""COMPUTED_VALUE"""),50)</f>
        <v>50</v>
      </c>
      <c r="F19" s="3" t="str">
        <f ca="1">IFERROR(__xludf.DUMMYFUNCTION("""COMPUTED_VALUE"""),"特訓ショップ")</f>
        <v>特訓ショップ</v>
      </c>
      <c r="G19" s="3"/>
    </row>
    <row r="20" spans="1:7" x14ac:dyDescent="0.25">
      <c r="A20" s="3" t="str">
        <f ca="1">IFERROR(__xludf.DUMMYFUNCTION("""COMPUTED_VALUE"""),"シュート技")</f>
        <v>シュート技</v>
      </c>
      <c r="B20" s="3" t="str">
        <f ca="1">IFERROR(__xludf.DUMMYFUNCTION("""COMPUTED_VALUE"""),"スパイラルショット")</f>
        <v>スパイラルショット</v>
      </c>
      <c r="C20" s="3" t="str">
        <f ca="1">IFERROR(__xludf.DUMMYFUNCTION("""COMPUTED_VALUE"""),"風")</f>
        <v>風</v>
      </c>
      <c r="D20" s="3">
        <f ca="1">IFERROR(__xludf.DUMMYFUNCTION("""COMPUTED_VALUE"""),50)</f>
        <v>50</v>
      </c>
      <c r="E20" s="3">
        <f ca="1">IFERROR(__xludf.DUMMYFUNCTION("""COMPUTED_VALUE"""),50)</f>
        <v>50</v>
      </c>
      <c r="F20" s="3" t="str">
        <f ca="1">IFERROR(__xludf.DUMMYFUNCTION("""COMPUTED_VALUE"""),"特訓ショップ")</f>
        <v>特訓ショップ</v>
      </c>
      <c r="G20" s="3"/>
    </row>
    <row r="21" spans="1:7" x14ac:dyDescent="0.25">
      <c r="A21" s="3" t="str">
        <f ca="1">IFERROR(__xludf.DUMMYFUNCTION("""COMPUTED_VALUE"""),"シュート技")</f>
        <v>シュート技</v>
      </c>
      <c r="B21" s="3" t="str">
        <f ca="1">IFERROR(__xludf.DUMMYFUNCTION("""COMPUTED_VALUE"""),"フリーズショット")</f>
        <v>フリーズショット</v>
      </c>
      <c r="C21" s="3" t="str">
        <f ca="1">IFERROR(__xludf.DUMMYFUNCTION("""COMPUTED_VALUE"""),"林")</f>
        <v>林</v>
      </c>
      <c r="D21" s="3">
        <f ca="1">IFERROR(__xludf.DUMMYFUNCTION("""COMPUTED_VALUE"""),50)</f>
        <v>50</v>
      </c>
      <c r="E21" s="3">
        <f ca="1">IFERROR(__xludf.DUMMYFUNCTION("""COMPUTED_VALUE"""),50)</f>
        <v>50</v>
      </c>
      <c r="F21" s="3" t="str">
        <f ca="1">IFERROR(__xludf.DUMMYFUNCTION("""COMPUTED_VALUE"""),"VSストア")</f>
        <v>VSストア</v>
      </c>
      <c r="G21" s="3"/>
    </row>
    <row r="22" spans="1:7" x14ac:dyDescent="0.25">
      <c r="A22" s="3" t="str">
        <f ca="1">IFERROR(__xludf.DUMMYFUNCTION("""COMPUTED_VALUE"""),"シュート技")</f>
        <v>シュート技</v>
      </c>
      <c r="B22" s="3" t="str">
        <f ca="1">IFERROR(__xludf.DUMMYFUNCTION("""COMPUTED_VALUE"""),"クロスドライブ")</f>
        <v>クロスドライブ</v>
      </c>
      <c r="C22" s="3" t="str">
        <f ca="1">IFERROR(__xludf.DUMMYFUNCTION("""COMPUTED_VALUE"""),"風")</f>
        <v>風</v>
      </c>
      <c r="D22" s="3">
        <f ca="1">IFERROR(__xludf.DUMMYFUNCTION("""COMPUTED_VALUE"""),50)</f>
        <v>50</v>
      </c>
      <c r="E22" s="3">
        <f ca="1">IFERROR(__xludf.DUMMYFUNCTION("""COMPUTED_VALUE"""),50)</f>
        <v>50</v>
      </c>
      <c r="F22" s="3" t="str">
        <f ca="1">IFERROR(__xludf.DUMMYFUNCTION("""COMPUTED_VALUE"""),"秘宝堂")</f>
        <v>秘宝堂</v>
      </c>
      <c r="G22" s="3"/>
    </row>
    <row r="23" spans="1:7" x14ac:dyDescent="0.25">
      <c r="A23" s="3" t="str">
        <f ca="1">IFERROR(__xludf.DUMMYFUNCTION("""COMPUTED_VALUE"""),"シュート技")</f>
        <v>シュート技</v>
      </c>
      <c r="B23" s="3" t="str">
        <f ca="1">IFERROR(__xludf.DUMMYFUNCTION("""COMPUTED_VALUE"""),"コンドルダイブ")</f>
        <v>コンドルダイブ</v>
      </c>
      <c r="C23" s="3" t="str">
        <f ca="1">IFERROR(__xludf.DUMMYFUNCTION("""COMPUTED_VALUE"""),"風")</f>
        <v>風</v>
      </c>
      <c r="D23" s="3">
        <f ca="1">IFERROR(__xludf.DUMMYFUNCTION("""COMPUTED_VALUE"""),50)</f>
        <v>50</v>
      </c>
      <c r="E23" s="3">
        <f ca="1">IFERROR(__xludf.DUMMYFUNCTION("""COMPUTED_VALUE"""),50)</f>
        <v>50</v>
      </c>
      <c r="F23" s="3" t="str">
        <f ca="1">IFERROR(__xludf.DUMMYFUNCTION("""COMPUTED_VALUE"""),"秘宝堂")</f>
        <v>秘宝堂</v>
      </c>
      <c r="G23" s="3"/>
    </row>
    <row r="24" spans="1:7" x14ac:dyDescent="0.25">
      <c r="A24" s="3" t="str">
        <f ca="1">IFERROR(__xludf.DUMMYFUNCTION("""COMPUTED_VALUE"""),"シュート技")</f>
        <v>シュート技</v>
      </c>
      <c r="B24" s="3" t="str">
        <f ca="1">IFERROR(__xludf.DUMMYFUNCTION("""COMPUTED_VALUE"""),"ラン・ボール・ラン")</f>
        <v>ラン・ボール・ラン</v>
      </c>
      <c r="C24" s="3" t="str">
        <f ca="1">IFERROR(__xludf.DUMMYFUNCTION("""COMPUTED_VALUE"""),"林")</f>
        <v>林</v>
      </c>
      <c r="D24" s="3">
        <f ca="1">IFERROR(__xludf.DUMMYFUNCTION("""COMPUTED_VALUE"""),50)</f>
        <v>50</v>
      </c>
      <c r="E24" s="3">
        <f ca="1">IFERROR(__xludf.DUMMYFUNCTION("""COMPUTED_VALUE"""),50)</f>
        <v>50</v>
      </c>
      <c r="F24" s="3" t="str">
        <f ca="1">IFERROR(__xludf.DUMMYFUNCTION("""COMPUTED_VALUE"""),"秘宝堂")</f>
        <v>秘宝堂</v>
      </c>
      <c r="G24" s="3"/>
    </row>
    <row r="25" spans="1:7" x14ac:dyDescent="0.25">
      <c r="A25" s="3" t="str">
        <f ca="1">IFERROR(__xludf.DUMMYFUNCTION("""COMPUTED_VALUE"""),"シュート技")</f>
        <v>シュート技</v>
      </c>
      <c r="B25" s="3" t="str">
        <f ca="1">IFERROR(__xludf.DUMMYFUNCTION("""COMPUTED_VALUE"""),"クンフーヘッド")</f>
        <v>クンフーヘッド</v>
      </c>
      <c r="C25" s="3" t="str">
        <f ca="1">IFERROR(__xludf.DUMMYFUNCTION("""COMPUTED_VALUE"""),"林")</f>
        <v>林</v>
      </c>
      <c r="D25" s="3">
        <f ca="1">IFERROR(__xludf.DUMMYFUNCTION("""COMPUTED_VALUE"""),50)</f>
        <v>50</v>
      </c>
      <c r="E25" s="3">
        <f ca="1">IFERROR(__xludf.DUMMYFUNCTION("""COMPUTED_VALUE"""),50)</f>
        <v>50</v>
      </c>
      <c r="F25" s="3" t="str">
        <f ca="1">IFERROR(__xludf.DUMMYFUNCTION("""COMPUTED_VALUE"""),"特訓ショップ")</f>
        <v>特訓ショップ</v>
      </c>
      <c r="G25" s="3"/>
    </row>
    <row r="26" spans="1:7" x14ac:dyDescent="0.25">
      <c r="A26" s="3" t="str">
        <f ca="1">IFERROR(__xludf.DUMMYFUNCTION("""COMPUTED_VALUE"""),"シュート技")</f>
        <v>シュート技</v>
      </c>
      <c r="B26" s="3" t="str">
        <f ca="1">IFERROR(__xludf.DUMMYFUNCTION("""COMPUTED_VALUE"""),"ターザンキック")</f>
        <v>ターザンキック</v>
      </c>
      <c r="C26" s="3" t="str">
        <f ca="1">IFERROR(__xludf.DUMMYFUNCTION("""COMPUTED_VALUE"""),"山")</f>
        <v>山</v>
      </c>
      <c r="D26" s="3">
        <f ca="1">IFERROR(__xludf.DUMMYFUNCTION("""COMPUTED_VALUE"""),50)</f>
        <v>50</v>
      </c>
      <c r="E26" s="3">
        <f ca="1">IFERROR(__xludf.DUMMYFUNCTION("""COMPUTED_VALUE"""),50)</f>
        <v>50</v>
      </c>
      <c r="F26" s="3" t="str">
        <f ca="1">IFERROR(__xludf.DUMMYFUNCTION("""COMPUTED_VALUE"""),"秘宝堂")</f>
        <v>秘宝堂</v>
      </c>
      <c r="G26" s="3"/>
    </row>
    <row r="27" spans="1:7" x14ac:dyDescent="0.25">
      <c r="A27" s="3" t="str">
        <f ca="1">IFERROR(__xludf.DUMMYFUNCTION("""COMPUTED_VALUE"""),"シュート技")</f>
        <v>シュート技</v>
      </c>
      <c r="B27" s="3" t="str">
        <f ca="1">IFERROR(__xludf.DUMMYFUNCTION("""COMPUTED_VALUE"""),"つちだるま")</f>
        <v>つちだるま</v>
      </c>
      <c r="C27" s="3" t="str">
        <f ca="1">IFERROR(__xludf.DUMMYFUNCTION("""COMPUTED_VALUE"""),"山")</f>
        <v>山</v>
      </c>
      <c r="D27" s="3">
        <f ca="1">IFERROR(__xludf.DUMMYFUNCTION("""COMPUTED_VALUE"""),50)</f>
        <v>50</v>
      </c>
      <c r="E27" s="3">
        <f ca="1">IFERROR(__xludf.DUMMYFUNCTION("""COMPUTED_VALUE"""),50)</f>
        <v>50</v>
      </c>
      <c r="F27" s="3" t="str">
        <f ca="1">IFERROR(__xludf.DUMMYFUNCTION("""COMPUTED_VALUE"""),"秘宝堂")</f>
        <v>秘宝堂</v>
      </c>
      <c r="G27" s="3"/>
    </row>
    <row r="28" spans="1:7" x14ac:dyDescent="0.25">
      <c r="A28" s="3" t="str">
        <f ca="1">IFERROR(__xludf.DUMMYFUNCTION("""COMPUTED_VALUE"""),"シュート技")</f>
        <v>シュート技</v>
      </c>
      <c r="B28" s="3" t="str">
        <f ca="1">IFERROR(__xludf.DUMMYFUNCTION("""COMPUTED_VALUE"""),"ローズスプラッシュ")</f>
        <v>ローズスプラッシュ</v>
      </c>
      <c r="C28" s="3" t="str">
        <f ca="1">IFERROR(__xludf.DUMMYFUNCTION("""COMPUTED_VALUE"""),"林")</f>
        <v>林</v>
      </c>
      <c r="D28" s="3">
        <f ca="1">IFERROR(__xludf.DUMMYFUNCTION("""COMPUTED_VALUE"""),50)</f>
        <v>50</v>
      </c>
      <c r="E28" s="3">
        <f ca="1">IFERROR(__xludf.DUMMYFUNCTION("""COMPUTED_VALUE"""),50)</f>
        <v>50</v>
      </c>
      <c r="F28" s="3" t="str">
        <f ca="1">IFERROR(__xludf.DUMMYFUNCTION("""COMPUTED_VALUE"""),"秘宝堂")</f>
        <v>秘宝堂</v>
      </c>
      <c r="G28" s="3"/>
    </row>
    <row r="29" spans="1:7" x14ac:dyDescent="0.25">
      <c r="A29" s="3" t="str">
        <f ca="1">IFERROR(__xludf.DUMMYFUNCTION("""COMPUTED_VALUE"""),"シュート技")</f>
        <v>シュート技</v>
      </c>
      <c r="B29" s="3" t="str">
        <f ca="1">IFERROR(__xludf.DUMMYFUNCTION("""COMPUTED_VALUE"""),"メガネクラッシュ")</f>
        <v>メガネクラッシュ</v>
      </c>
      <c r="C29" s="3" t="str">
        <f ca="1">IFERROR(__xludf.DUMMYFUNCTION("""COMPUTED_VALUE"""),"山")</f>
        <v>山</v>
      </c>
      <c r="D29" s="3">
        <f ca="1">IFERROR(__xludf.DUMMYFUNCTION("""COMPUTED_VALUE"""),50)</f>
        <v>50</v>
      </c>
      <c r="E29" s="3">
        <f ca="1">IFERROR(__xludf.DUMMYFUNCTION("""COMPUTED_VALUE"""),50)</f>
        <v>50</v>
      </c>
      <c r="F29" s="3" t="str">
        <f ca="1">IFERROR(__xludf.DUMMYFUNCTION("""COMPUTED_VALUE"""),"クロニクル百貨店")</f>
        <v>クロニクル百貨店</v>
      </c>
      <c r="G29" s="3"/>
    </row>
    <row r="30" spans="1:7" x14ac:dyDescent="0.25">
      <c r="A30" s="3" t="str">
        <f ca="1">IFERROR(__xludf.DUMMYFUNCTION("""COMPUTED_VALUE"""),"シュート技")</f>
        <v>シュート技</v>
      </c>
      <c r="B30" s="3" t="str">
        <f ca="1">IFERROR(__xludf.DUMMYFUNCTION("""COMPUTED_VALUE"""),"ガンショット")</f>
        <v>ガンショット</v>
      </c>
      <c r="C30" s="3" t="str">
        <f ca="1">IFERROR(__xludf.DUMMYFUNCTION("""COMPUTED_VALUE"""),"火")</f>
        <v>火</v>
      </c>
      <c r="D30" s="3">
        <f ca="1">IFERROR(__xludf.DUMMYFUNCTION("""COMPUTED_VALUE"""),50)</f>
        <v>50</v>
      </c>
      <c r="E30" s="3">
        <f ca="1">IFERROR(__xludf.DUMMYFUNCTION("""COMPUTED_VALUE"""),50)</f>
        <v>50</v>
      </c>
      <c r="F30" s="3" t="str">
        <f ca="1">IFERROR(__xludf.DUMMYFUNCTION("""COMPUTED_VALUE"""),"秘宝堂")</f>
        <v>秘宝堂</v>
      </c>
      <c r="G30" s="3"/>
    </row>
    <row r="31" spans="1:7" x14ac:dyDescent="0.25">
      <c r="A31" s="3" t="str">
        <f ca="1">IFERROR(__xludf.DUMMYFUNCTION("""COMPUTED_VALUE"""),"シュート技")</f>
        <v>シュート技</v>
      </c>
      <c r="B31" s="3" t="str">
        <f ca="1">IFERROR(__xludf.DUMMYFUNCTION("""COMPUTED_VALUE"""),"マッハウィンド")</f>
        <v>マッハウィンド</v>
      </c>
      <c r="C31" s="3" t="str">
        <f ca="1">IFERROR(__xludf.DUMMYFUNCTION("""COMPUTED_VALUE"""),"風")</f>
        <v>風</v>
      </c>
      <c r="D31" s="3">
        <f ca="1">IFERROR(__xludf.DUMMYFUNCTION("""COMPUTED_VALUE"""),50)</f>
        <v>50</v>
      </c>
      <c r="E31" s="3">
        <f ca="1">IFERROR(__xludf.DUMMYFUNCTION("""COMPUTED_VALUE"""),50)</f>
        <v>50</v>
      </c>
      <c r="F31" s="3" t="str">
        <f ca="1">IFERROR(__xludf.DUMMYFUNCTION("""COMPUTED_VALUE"""),"クロニクル百貨店")</f>
        <v>クロニクル百貨店</v>
      </c>
      <c r="G31" s="3"/>
    </row>
    <row r="32" spans="1:7" x14ac:dyDescent="0.25">
      <c r="A32" s="3" t="str">
        <f ca="1">IFERROR(__xludf.DUMMYFUNCTION("""COMPUTED_VALUE"""),"シュート技")</f>
        <v>シュート技</v>
      </c>
      <c r="B32" s="3" t="str">
        <f ca="1">IFERROR(__xludf.DUMMYFUNCTION("""COMPUTED_VALUE"""),"バウンドフレイム")</f>
        <v>バウンドフレイム</v>
      </c>
      <c r="C32" s="3" t="str">
        <f ca="1">IFERROR(__xludf.DUMMYFUNCTION("""COMPUTED_VALUE"""),"火")</f>
        <v>火</v>
      </c>
      <c r="D32" s="3">
        <f ca="1">IFERROR(__xludf.DUMMYFUNCTION("""COMPUTED_VALUE"""),50)</f>
        <v>50</v>
      </c>
      <c r="E32" s="3">
        <f ca="1">IFERROR(__xludf.DUMMYFUNCTION("""COMPUTED_VALUE"""),50)</f>
        <v>50</v>
      </c>
      <c r="F32" s="3" t="str">
        <f ca="1">IFERROR(__xludf.DUMMYFUNCTION("""COMPUTED_VALUE"""),"秘宝堂")</f>
        <v>秘宝堂</v>
      </c>
      <c r="G32" s="3"/>
    </row>
    <row r="33" spans="1:7" x14ac:dyDescent="0.25">
      <c r="A33" s="3" t="str">
        <f ca="1">IFERROR(__xludf.DUMMYFUNCTION("""COMPUTED_VALUE"""),"シュート技")</f>
        <v>シュート技</v>
      </c>
      <c r="B33" s="3" t="str">
        <f ca="1">IFERROR(__xludf.DUMMYFUNCTION("""COMPUTED_VALUE"""),"パーフェクトコース")</f>
        <v>パーフェクトコース</v>
      </c>
      <c r="C33" s="3" t="str">
        <f ca="1">IFERROR(__xludf.DUMMYFUNCTION("""COMPUTED_VALUE"""),"林")</f>
        <v>林</v>
      </c>
      <c r="D33" s="3">
        <f ca="1">IFERROR(__xludf.DUMMYFUNCTION("""COMPUTED_VALUE"""),50)</f>
        <v>50</v>
      </c>
      <c r="E33" s="3">
        <f ca="1">IFERROR(__xludf.DUMMYFUNCTION("""COMPUTED_VALUE"""),50)</f>
        <v>50</v>
      </c>
      <c r="F33" s="3" t="str">
        <f ca="1">IFERROR(__xludf.DUMMYFUNCTION("""COMPUTED_VALUE"""),"秘宝堂")</f>
        <v>秘宝堂</v>
      </c>
      <c r="G33" s="3"/>
    </row>
    <row r="34" spans="1:7" x14ac:dyDescent="0.25">
      <c r="A34" s="3" t="str">
        <f ca="1">IFERROR(__xludf.DUMMYFUNCTION("""COMPUTED_VALUE"""),"シュート技")</f>
        <v>シュート技</v>
      </c>
      <c r="B34" s="3" t="str">
        <f ca="1">IFERROR(__xludf.DUMMYFUNCTION("""COMPUTED_VALUE"""),"フォルテシモ")</f>
        <v>フォルテシモ</v>
      </c>
      <c r="C34" s="3" t="str">
        <f ca="1">IFERROR(__xludf.DUMMYFUNCTION("""COMPUTED_VALUE"""),"林")</f>
        <v>林</v>
      </c>
      <c r="D34" s="3">
        <f ca="1">IFERROR(__xludf.DUMMYFUNCTION("""COMPUTED_VALUE"""),50)</f>
        <v>50</v>
      </c>
      <c r="E34" s="3">
        <f ca="1">IFERROR(__xludf.DUMMYFUNCTION("""COMPUTED_VALUE"""),50)</f>
        <v>50</v>
      </c>
      <c r="F34" s="3" t="str">
        <f ca="1">IFERROR(__xludf.DUMMYFUNCTION("""COMPUTED_VALUE"""),"クロニクル百貨店")</f>
        <v>クロニクル百貨店</v>
      </c>
      <c r="G34" s="3"/>
    </row>
    <row r="35" spans="1:7" x14ac:dyDescent="0.25">
      <c r="A35" s="3" t="str">
        <f ca="1">IFERROR(__xludf.DUMMYFUNCTION("""COMPUTED_VALUE"""),"シュート技")</f>
        <v>シュート技</v>
      </c>
      <c r="B35" s="3" t="str">
        <f ca="1">IFERROR(__xludf.DUMMYFUNCTION("""COMPUTED_VALUE"""),"サイドワインダー")</f>
        <v>サイドワインダー</v>
      </c>
      <c r="C35" s="3" t="str">
        <f ca="1">IFERROR(__xludf.DUMMYFUNCTION("""COMPUTED_VALUE"""),"山")</f>
        <v>山</v>
      </c>
      <c r="D35" s="3">
        <f ca="1">IFERROR(__xludf.DUMMYFUNCTION("""COMPUTED_VALUE"""),50)</f>
        <v>50</v>
      </c>
      <c r="E35" s="3">
        <f ca="1">IFERROR(__xludf.DUMMYFUNCTION("""COMPUTED_VALUE"""),50)</f>
        <v>50</v>
      </c>
      <c r="F35" s="3" t="str">
        <f ca="1">IFERROR(__xludf.DUMMYFUNCTION("""COMPUTED_VALUE"""),"クロニクル百貨店")</f>
        <v>クロニクル百貨店</v>
      </c>
      <c r="G35" s="3"/>
    </row>
    <row r="36" spans="1:7" x14ac:dyDescent="0.25">
      <c r="A36" s="3" t="str">
        <f ca="1">IFERROR(__xludf.DUMMYFUNCTION("""COMPUTED_VALUE"""),"シュート技")</f>
        <v>シュート技</v>
      </c>
      <c r="B36" s="3" t="str">
        <f ca="1">IFERROR(__xludf.DUMMYFUNCTION("""COMPUTED_VALUE"""),"スピニングトランザム")</f>
        <v>スピニングトランザム</v>
      </c>
      <c r="C36" s="3" t="str">
        <f ca="1">IFERROR(__xludf.DUMMYFUNCTION("""COMPUTED_VALUE"""),"風")</f>
        <v>風</v>
      </c>
      <c r="D36" s="3">
        <f ca="1">IFERROR(__xludf.DUMMYFUNCTION("""COMPUTED_VALUE"""),50)</f>
        <v>50</v>
      </c>
      <c r="E36" s="3">
        <f ca="1">IFERROR(__xludf.DUMMYFUNCTION("""COMPUTED_VALUE"""),50)</f>
        <v>50</v>
      </c>
      <c r="F36" s="3" t="str">
        <f ca="1">IFERROR(__xludf.DUMMYFUNCTION("""COMPUTED_VALUE"""),"特訓ショップ")</f>
        <v>特訓ショップ</v>
      </c>
      <c r="G36" s="3"/>
    </row>
    <row r="37" spans="1:7" x14ac:dyDescent="0.25">
      <c r="A37" s="3" t="str">
        <f ca="1">IFERROR(__xludf.DUMMYFUNCTION("""COMPUTED_VALUE"""),"シュート技")</f>
        <v>シュート技</v>
      </c>
      <c r="B37" s="3" t="str">
        <f ca="1">IFERROR(__xludf.DUMMYFUNCTION("""COMPUTED_VALUE"""),"ぐるぐるシュート")</f>
        <v>ぐるぐるシュート</v>
      </c>
      <c r="C37" s="3" t="str">
        <f ca="1">IFERROR(__xludf.DUMMYFUNCTION("""COMPUTED_VALUE"""),"風")</f>
        <v>風</v>
      </c>
      <c r="D37" s="3">
        <f ca="1">IFERROR(__xludf.DUMMYFUNCTION("""COMPUTED_VALUE"""),50)</f>
        <v>50</v>
      </c>
      <c r="E37" s="3">
        <f ca="1">IFERROR(__xludf.DUMMYFUNCTION("""COMPUTED_VALUE"""),50)</f>
        <v>50</v>
      </c>
      <c r="F37" s="3" t="str">
        <f ca="1">IFERROR(__xludf.DUMMYFUNCTION("""COMPUTED_VALUE"""),"特訓ショップ")</f>
        <v>特訓ショップ</v>
      </c>
      <c r="G37" s="3"/>
    </row>
    <row r="38" spans="1:7" x14ac:dyDescent="0.25">
      <c r="A38" s="3" t="str">
        <f ca="1">IFERROR(__xludf.DUMMYFUNCTION("""COMPUTED_VALUE"""),"シュート技")</f>
        <v>シュート技</v>
      </c>
      <c r="B38" s="3" t="str">
        <f ca="1">IFERROR(__xludf.DUMMYFUNCTION("""COMPUTED_VALUE"""),"エイムショット")</f>
        <v>エイムショット</v>
      </c>
      <c r="C38" s="3" t="str">
        <f ca="1">IFERROR(__xludf.DUMMYFUNCTION("""COMPUTED_VALUE"""),"風")</f>
        <v>風</v>
      </c>
      <c r="D38" s="3">
        <f ca="1">IFERROR(__xludf.DUMMYFUNCTION("""COMPUTED_VALUE"""),50)</f>
        <v>50</v>
      </c>
      <c r="E38" s="3">
        <f ca="1">IFERROR(__xludf.DUMMYFUNCTION("""COMPUTED_VALUE"""),50)</f>
        <v>50</v>
      </c>
      <c r="F38" s="3" t="str">
        <f ca="1">IFERROR(__xludf.DUMMYFUNCTION("""COMPUTED_VALUE"""),"特訓ショップ")</f>
        <v>特訓ショップ</v>
      </c>
      <c r="G38" s="3"/>
    </row>
    <row r="39" spans="1:7" x14ac:dyDescent="0.25">
      <c r="A39" s="3" t="str">
        <f ca="1">IFERROR(__xludf.DUMMYFUNCTION("""COMPUTED_VALUE"""),"シュート技")</f>
        <v>シュート技</v>
      </c>
      <c r="B39" s="3" t="str">
        <f ca="1">IFERROR(__xludf.DUMMYFUNCTION("""COMPUTED_VALUE"""),"パトリオットシュート")</f>
        <v>パトリオットシュート</v>
      </c>
      <c r="C39" s="3" t="str">
        <f ca="1">IFERROR(__xludf.DUMMYFUNCTION("""COMPUTED_VALUE"""),"火")</f>
        <v>火</v>
      </c>
      <c r="D39" s="3">
        <f ca="1">IFERROR(__xludf.DUMMYFUNCTION("""COMPUTED_VALUE"""),60)</f>
        <v>60</v>
      </c>
      <c r="E39" s="3">
        <f ca="1">IFERROR(__xludf.DUMMYFUNCTION("""COMPUTED_VALUE"""),60)</f>
        <v>60</v>
      </c>
      <c r="F39" s="3" t="str">
        <f ca="1">IFERROR(__xludf.DUMMYFUNCTION("""COMPUTED_VALUE"""),"秘宝堂")</f>
        <v>秘宝堂</v>
      </c>
      <c r="G39" s="3" t="str">
        <f ca="1">IFERROR(__xludf.DUMMYFUNCTION("""COMPUTED_VALUE"""),"ロングシュート")</f>
        <v>ロングシュート</v>
      </c>
    </row>
    <row r="40" spans="1:7" x14ac:dyDescent="0.25">
      <c r="A40" s="3" t="str">
        <f ca="1">IFERROR(__xludf.DUMMYFUNCTION("""COMPUTED_VALUE"""),"シュート技")</f>
        <v>シュート技</v>
      </c>
      <c r="B40" s="3" t="str">
        <f ca="1">IFERROR(__xludf.DUMMYFUNCTION("""COMPUTED_VALUE"""),"炎の風見鶏")</f>
        <v>炎の風見鶏</v>
      </c>
      <c r="C40" s="3" t="str">
        <f ca="1">IFERROR(__xludf.DUMMYFUNCTION("""COMPUTED_VALUE"""),"火")</f>
        <v>火</v>
      </c>
      <c r="D40" s="3">
        <f ca="1">IFERROR(__xludf.DUMMYFUNCTION("""COMPUTED_VALUE"""),60)</f>
        <v>60</v>
      </c>
      <c r="E40" s="3">
        <f ca="1">IFERROR(__xludf.DUMMYFUNCTION("""COMPUTED_VALUE"""),60)</f>
        <v>60</v>
      </c>
      <c r="F40" s="3" t="str">
        <f ca="1">IFERROR(__xludf.DUMMYFUNCTION("""COMPUTED_VALUE"""),"クロニクル百貨店")</f>
        <v>クロニクル百貨店</v>
      </c>
      <c r="G40" s="3" t="str">
        <f ca="1">IFERROR(__xludf.DUMMYFUNCTION("""COMPUTED_VALUE"""),"ロングシュート")</f>
        <v>ロングシュート</v>
      </c>
    </row>
    <row r="41" spans="1:7" x14ac:dyDescent="0.25">
      <c r="A41" s="3" t="str">
        <f ca="1">IFERROR(__xludf.DUMMYFUNCTION("""COMPUTED_VALUE"""),"シュート技")</f>
        <v>シュート技</v>
      </c>
      <c r="B41" s="3" t="str">
        <f ca="1">IFERROR(__xludf.DUMMYFUNCTION("""COMPUTED_VALUE"""),"グングニル")</f>
        <v>グングニル</v>
      </c>
      <c r="C41" s="3" t="str">
        <f ca="1">IFERROR(__xludf.DUMMYFUNCTION("""COMPUTED_VALUE"""),"風")</f>
        <v>風</v>
      </c>
      <c r="D41" s="3">
        <f ca="1">IFERROR(__xludf.DUMMYFUNCTION("""COMPUTED_VALUE"""),60)</f>
        <v>60</v>
      </c>
      <c r="E41" s="3">
        <f ca="1">IFERROR(__xludf.DUMMYFUNCTION("""COMPUTED_VALUE"""),60)</f>
        <v>60</v>
      </c>
      <c r="F41" s="3" t="str">
        <f ca="1">IFERROR(__xludf.DUMMYFUNCTION("""COMPUTED_VALUE"""),"クロニクル百貨店")</f>
        <v>クロニクル百貨店</v>
      </c>
      <c r="G41" s="3" t="str">
        <f ca="1">IFERROR(__xludf.DUMMYFUNCTION("""COMPUTED_VALUE"""),"ロングシュート")</f>
        <v>ロングシュート</v>
      </c>
    </row>
    <row r="42" spans="1:7" x14ac:dyDescent="0.25">
      <c r="A42" s="3" t="str">
        <f ca="1">IFERROR(__xludf.DUMMYFUNCTION("""COMPUTED_VALUE"""),"シュート技")</f>
        <v>シュート技</v>
      </c>
      <c r="B42" s="3" t="str">
        <f ca="1">IFERROR(__xludf.DUMMYFUNCTION("""COMPUTED_VALUE"""),"イーグルバスター")</f>
        <v>イーグルバスター</v>
      </c>
      <c r="C42" s="3" t="str">
        <f ca="1">IFERROR(__xludf.DUMMYFUNCTION("""COMPUTED_VALUE"""),"山")</f>
        <v>山</v>
      </c>
      <c r="D42" s="3">
        <f ca="1">IFERROR(__xludf.DUMMYFUNCTION("""COMPUTED_VALUE"""),60)</f>
        <v>60</v>
      </c>
      <c r="E42" s="3">
        <f ca="1">IFERROR(__xludf.DUMMYFUNCTION("""COMPUTED_VALUE"""),60)</f>
        <v>60</v>
      </c>
      <c r="F42" s="3" t="str">
        <f ca="1">IFERROR(__xludf.DUMMYFUNCTION("""COMPUTED_VALUE"""),"秘宝堂")</f>
        <v>秘宝堂</v>
      </c>
      <c r="G42" s="3" t="str">
        <f ca="1">IFERROR(__xludf.DUMMYFUNCTION("""COMPUTED_VALUE"""),"ロングシュート")</f>
        <v>ロングシュート</v>
      </c>
    </row>
    <row r="43" spans="1:7" x14ac:dyDescent="0.25">
      <c r="A43" s="3" t="str">
        <f ca="1">IFERROR(__xludf.DUMMYFUNCTION("""COMPUTED_VALUE"""),"シュート技")</f>
        <v>シュート技</v>
      </c>
      <c r="B43" s="3" t="str">
        <f ca="1">IFERROR(__xludf.DUMMYFUNCTION("""COMPUTED_VALUE"""),"タイガードライブ")</f>
        <v>タイガードライブ</v>
      </c>
      <c r="C43" s="3" t="str">
        <f ca="1">IFERROR(__xludf.DUMMYFUNCTION("""COMPUTED_VALUE"""),"山")</f>
        <v>山</v>
      </c>
      <c r="D43" s="3">
        <f ca="1">IFERROR(__xludf.DUMMYFUNCTION("""COMPUTED_VALUE"""),60)</f>
        <v>60</v>
      </c>
      <c r="E43" s="3">
        <f ca="1">IFERROR(__xludf.DUMMYFUNCTION("""COMPUTED_VALUE"""),60)</f>
        <v>60</v>
      </c>
      <c r="F43" s="3" t="str">
        <f ca="1">IFERROR(__xludf.DUMMYFUNCTION("""COMPUTED_VALUE"""),"VSストア")</f>
        <v>VSストア</v>
      </c>
      <c r="G43" s="3" t="str">
        <f ca="1">IFERROR(__xludf.DUMMYFUNCTION("""COMPUTED_VALUE"""),"ロングシュート")</f>
        <v>ロングシュート</v>
      </c>
    </row>
    <row r="44" spans="1:7" x14ac:dyDescent="0.25">
      <c r="A44" s="3" t="str">
        <f ca="1">IFERROR(__xludf.DUMMYFUNCTION("""COMPUTED_VALUE"""),"シュート技")</f>
        <v>シュート技</v>
      </c>
      <c r="B44" s="3" t="str">
        <f ca="1">IFERROR(__xludf.DUMMYFUNCTION("""COMPUTED_VALUE"""),"エクスカリバー")</f>
        <v>エクスカリバー</v>
      </c>
      <c r="C44" s="3" t="str">
        <f ca="1">IFERROR(__xludf.DUMMYFUNCTION("""COMPUTED_VALUE"""),"風")</f>
        <v>風</v>
      </c>
      <c r="D44" s="3">
        <f ca="1">IFERROR(__xludf.DUMMYFUNCTION("""COMPUTED_VALUE"""),60)</f>
        <v>60</v>
      </c>
      <c r="E44" s="3">
        <f ca="1">IFERROR(__xludf.DUMMYFUNCTION("""COMPUTED_VALUE"""),60)</f>
        <v>60</v>
      </c>
      <c r="F44" s="3" t="str">
        <f ca="1">IFERROR(__xludf.DUMMYFUNCTION("""COMPUTED_VALUE"""),"クロニクル百貨店")</f>
        <v>クロニクル百貨店</v>
      </c>
      <c r="G44" s="3" t="str">
        <f ca="1">IFERROR(__xludf.DUMMYFUNCTION("""COMPUTED_VALUE"""),"ロングシュート")</f>
        <v>ロングシュート</v>
      </c>
    </row>
    <row r="45" spans="1:7" x14ac:dyDescent="0.25">
      <c r="A45" s="3" t="str">
        <f ca="1">IFERROR(__xludf.DUMMYFUNCTION("""COMPUTED_VALUE"""),"シュート技")</f>
        <v>シュート技</v>
      </c>
      <c r="B45" s="3" t="str">
        <f ca="1">IFERROR(__xludf.DUMMYFUNCTION("""COMPUTED_VALUE"""),"ストライクサンバ")</f>
        <v>ストライクサンバ</v>
      </c>
      <c r="C45" s="3" t="str">
        <f ca="1">IFERROR(__xludf.DUMMYFUNCTION("""COMPUTED_VALUE"""),"山")</f>
        <v>山</v>
      </c>
      <c r="D45" s="3">
        <f ca="1">IFERROR(__xludf.DUMMYFUNCTION("""COMPUTED_VALUE"""),60)</f>
        <v>60</v>
      </c>
      <c r="E45" s="3">
        <f ca="1">IFERROR(__xludf.DUMMYFUNCTION("""COMPUTED_VALUE"""),60)</f>
        <v>60</v>
      </c>
      <c r="F45" s="3" t="str">
        <f ca="1">IFERROR(__xludf.DUMMYFUNCTION("""COMPUTED_VALUE"""),"秘宝堂")</f>
        <v>秘宝堂</v>
      </c>
      <c r="G45" s="3" t="str">
        <f ca="1">IFERROR(__xludf.DUMMYFUNCTION("""COMPUTED_VALUE"""),"ロングシュート")</f>
        <v>ロングシュート</v>
      </c>
    </row>
    <row r="46" spans="1:7" x14ac:dyDescent="0.25">
      <c r="A46" s="3" t="str">
        <f ca="1">IFERROR(__xludf.DUMMYFUNCTION("""COMPUTED_VALUE"""),"シュート技")</f>
        <v>シュート技</v>
      </c>
      <c r="B46" s="3" t="str">
        <f ca="1">IFERROR(__xludf.DUMMYFUNCTION("""COMPUTED_VALUE"""),"RCシュート")</f>
        <v>RCシュート</v>
      </c>
      <c r="C46" s="3" t="str">
        <f ca="1">IFERROR(__xludf.DUMMYFUNCTION("""COMPUTED_VALUE"""),"火")</f>
        <v>火</v>
      </c>
      <c r="D46" s="3">
        <f ca="1">IFERROR(__xludf.DUMMYFUNCTION("""COMPUTED_VALUE"""),60)</f>
        <v>60</v>
      </c>
      <c r="E46" s="3">
        <f ca="1">IFERROR(__xludf.DUMMYFUNCTION("""COMPUTED_VALUE"""),60)</f>
        <v>60</v>
      </c>
      <c r="F46" s="3" t="str">
        <f ca="1">IFERROR(__xludf.DUMMYFUNCTION("""COMPUTED_VALUE"""),"秘宝堂")</f>
        <v>秘宝堂</v>
      </c>
      <c r="G46" s="3" t="str">
        <f ca="1">IFERROR(__xludf.DUMMYFUNCTION("""COMPUTED_VALUE"""),"ロングシュート")</f>
        <v>ロングシュート</v>
      </c>
    </row>
    <row r="47" spans="1:7" x14ac:dyDescent="0.25">
      <c r="A47" s="3" t="str">
        <f ca="1">IFERROR(__xludf.DUMMYFUNCTION("""COMPUTED_VALUE"""),"シュート技")</f>
        <v>シュート技</v>
      </c>
      <c r="B47" s="3" t="str">
        <f ca="1">IFERROR(__xludf.DUMMYFUNCTION("""COMPUTED_VALUE"""),"デスレイン")</f>
        <v>デスレイン</v>
      </c>
      <c r="C47" s="3" t="str">
        <f ca="1">IFERROR(__xludf.DUMMYFUNCTION("""COMPUTED_VALUE"""),"火")</f>
        <v>火</v>
      </c>
      <c r="D47" s="3">
        <f ca="1">IFERROR(__xludf.DUMMYFUNCTION("""COMPUTED_VALUE"""),60)</f>
        <v>60</v>
      </c>
      <c r="E47" s="3">
        <f ca="1">IFERROR(__xludf.DUMMYFUNCTION("""COMPUTED_VALUE"""),60)</f>
        <v>60</v>
      </c>
      <c r="F47" s="3" t="str">
        <f ca="1">IFERROR(__xludf.DUMMYFUNCTION("""COMPUTED_VALUE"""),"VSストア")</f>
        <v>VSストア</v>
      </c>
      <c r="G47" s="3" t="str">
        <f ca="1">IFERROR(__xludf.DUMMYFUNCTION("""COMPUTED_VALUE"""),"ロングシュート")</f>
        <v>ロングシュート</v>
      </c>
    </row>
    <row r="48" spans="1:7" x14ac:dyDescent="0.25">
      <c r="A48" s="3" t="str">
        <f ca="1">IFERROR(__xludf.DUMMYFUNCTION("""COMPUTED_VALUE"""),"シュート技")</f>
        <v>シュート技</v>
      </c>
      <c r="B48" s="3" t="str">
        <f ca="1">IFERROR(__xludf.DUMMYFUNCTION("""COMPUTED_VALUE"""),"デススピアー")</f>
        <v>デススピアー</v>
      </c>
      <c r="C48" s="3" t="str">
        <f ca="1">IFERROR(__xludf.DUMMYFUNCTION("""COMPUTED_VALUE"""),"林")</f>
        <v>林</v>
      </c>
      <c r="D48" s="3">
        <f ca="1">IFERROR(__xludf.DUMMYFUNCTION("""COMPUTED_VALUE"""),60)</f>
        <v>60</v>
      </c>
      <c r="E48" s="3">
        <f ca="1">IFERROR(__xludf.DUMMYFUNCTION("""COMPUTED_VALUE"""),60)</f>
        <v>60</v>
      </c>
      <c r="F48" s="3" t="str">
        <f ca="1">IFERROR(__xludf.DUMMYFUNCTION("""COMPUTED_VALUE"""),"クロニクル百貨店")</f>
        <v>クロニクル百貨店</v>
      </c>
      <c r="G48" s="3" t="str">
        <f ca="1">IFERROR(__xludf.DUMMYFUNCTION("""COMPUTED_VALUE"""),"ロングシュート")</f>
        <v>ロングシュート</v>
      </c>
    </row>
    <row r="49" spans="1:7" x14ac:dyDescent="0.25">
      <c r="A49" s="3" t="str">
        <f ca="1">IFERROR(__xludf.DUMMYFUNCTION("""COMPUTED_VALUE"""),"シュート技")</f>
        <v>シュート技</v>
      </c>
      <c r="B49" s="3" t="str">
        <f ca="1">IFERROR(__xludf.DUMMYFUNCTION("""COMPUTED_VALUE"""),"バリスタショット")</f>
        <v>バリスタショット</v>
      </c>
      <c r="C49" s="3" t="str">
        <f ca="1">IFERROR(__xludf.DUMMYFUNCTION("""COMPUTED_VALUE"""),"山")</f>
        <v>山</v>
      </c>
      <c r="D49" s="3">
        <f ca="1">IFERROR(__xludf.DUMMYFUNCTION("""COMPUTED_VALUE"""),60)</f>
        <v>60</v>
      </c>
      <c r="E49" s="3">
        <f ca="1">IFERROR(__xludf.DUMMYFUNCTION("""COMPUTED_VALUE"""),60)</f>
        <v>60</v>
      </c>
      <c r="F49" s="3" t="str">
        <f ca="1">IFERROR(__xludf.DUMMYFUNCTION("""COMPUTED_VALUE"""),"VSストア")</f>
        <v>VSストア</v>
      </c>
      <c r="G49" s="3" t="str">
        <f ca="1">IFERROR(__xludf.DUMMYFUNCTION("""COMPUTED_VALUE"""),"ロングシュート")</f>
        <v>ロングシュート</v>
      </c>
    </row>
    <row r="50" spans="1:7" x14ac:dyDescent="0.25">
      <c r="A50" s="3" t="str">
        <f ca="1">IFERROR(__xludf.DUMMYFUNCTION("""COMPUTED_VALUE"""),"シュート技")</f>
        <v>シュート技</v>
      </c>
      <c r="B50" s="3" t="str">
        <f ca="1">IFERROR(__xludf.DUMMYFUNCTION("""COMPUTED_VALUE"""),"ダブルショット")</f>
        <v>ダブルショット</v>
      </c>
      <c r="C50" s="3" t="str">
        <f ca="1">IFERROR(__xludf.DUMMYFUNCTION("""COMPUTED_VALUE"""),"無")</f>
        <v>無</v>
      </c>
      <c r="D50" s="3">
        <f ca="1">IFERROR(__xludf.DUMMYFUNCTION("""COMPUTED_VALUE"""),60)</f>
        <v>60</v>
      </c>
      <c r="E50" s="3">
        <f ca="1">IFERROR(__xludf.DUMMYFUNCTION("""COMPUTED_VALUE"""),60)</f>
        <v>60</v>
      </c>
      <c r="F50" s="3" t="str">
        <f ca="1">IFERROR(__xludf.DUMMYFUNCTION("""COMPUTED_VALUE"""),"クロニクル百貨店")</f>
        <v>クロニクル百貨店</v>
      </c>
      <c r="G50" s="3" t="str">
        <f ca="1">IFERROR(__xludf.DUMMYFUNCTION("""COMPUTED_VALUE"""),"ロングシュート")</f>
        <v>ロングシュート</v>
      </c>
    </row>
    <row r="51" spans="1:7" x14ac:dyDescent="0.25">
      <c r="A51" s="3" t="str">
        <f ca="1">IFERROR(__xludf.DUMMYFUNCTION("""COMPUTED_VALUE"""),"シュート技")</f>
        <v>シュート技</v>
      </c>
      <c r="B51" s="3" t="str">
        <f ca="1">IFERROR(__xludf.DUMMYFUNCTION("""COMPUTED_VALUE"""),"火縄バレット")</f>
        <v>火縄バレット</v>
      </c>
      <c r="C51" s="3" t="str">
        <f ca="1">IFERROR(__xludf.DUMMYFUNCTION("""COMPUTED_VALUE"""),"火")</f>
        <v>火</v>
      </c>
      <c r="D51" s="3">
        <f ca="1">IFERROR(__xludf.DUMMYFUNCTION("""COMPUTED_VALUE"""),60)</f>
        <v>60</v>
      </c>
      <c r="E51" s="3">
        <f ca="1">IFERROR(__xludf.DUMMYFUNCTION("""COMPUTED_VALUE"""),60)</f>
        <v>60</v>
      </c>
      <c r="F51" s="3" t="str">
        <f ca="1">IFERROR(__xludf.DUMMYFUNCTION("""COMPUTED_VALUE"""),"VSストア")</f>
        <v>VSストア</v>
      </c>
      <c r="G51" s="3" t="str">
        <f ca="1">IFERROR(__xludf.DUMMYFUNCTION("""COMPUTED_VALUE"""),"ロングシュート")</f>
        <v>ロングシュート</v>
      </c>
    </row>
    <row r="52" spans="1:7" x14ac:dyDescent="0.25">
      <c r="A52" s="3" t="str">
        <f ca="1">IFERROR(__xludf.DUMMYFUNCTION("""COMPUTED_VALUE"""),"シュート技")</f>
        <v>シュート技</v>
      </c>
      <c r="B52" s="3" t="str">
        <f ca="1">IFERROR(__xludf.DUMMYFUNCTION("""COMPUTED_VALUE"""),"ラブ・アロー")</f>
        <v>ラブ・アロー</v>
      </c>
      <c r="C52" s="3" t="str">
        <f ca="1">IFERROR(__xludf.DUMMYFUNCTION("""COMPUTED_VALUE"""),"火")</f>
        <v>火</v>
      </c>
      <c r="D52" s="3">
        <f ca="1">IFERROR(__xludf.DUMMYFUNCTION("""COMPUTED_VALUE"""),60)</f>
        <v>60</v>
      </c>
      <c r="E52" s="3">
        <f ca="1">IFERROR(__xludf.DUMMYFUNCTION("""COMPUTED_VALUE"""),60)</f>
        <v>60</v>
      </c>
      <c r="F52" s="3" t="str">
        <f ca="1">IFERROR(__xludf.DUMMYFUNCTION("""COMPUTED_VALUE"""),"秘宝堂")</f>
        <v>秘宝堂</v>
      </c>
      <c r="G52" s="3" t="str">
        <f ca="1">IFERROR(__xludf.DUMMYFUNCTION("""COMPUTED_VALUE"""),"ロングシュート")</f>
        <v>ロングシュート</v>
      </c>
    </row>
    <row r="53" spans="1:7" x14ac:dyDescent="0.25">
      <c r="A53" s="3" t="str">
        <f ca="1">IFERROR(__xludf.DUMMYFUNCTION("""COMPUTED_VALUE"""),"シュート技")</f>
        <v>シュート技</v>
      </c>
      <c r="B53" s="3" t="str">
        <f ca="1">IFERROR(__xludf.DUMMYFUNCTION("""COMPUTED_VALUE"""),"ド根性バット")</f>
        <v>ド根性バット</v>
      </c>
      <c r="C53" s="3" t="str">
        <f ca="1">IFERROR(__xludf.DUMMYFUNCTION("""COMPUTED_VALUE"""),"火")</f>
        <v>火</v>
      </c>
      <c r="D53" s="3">
        <f ca="1">IFERROR(__xludf.DUMMYFUNCTION("""COMPUTED_VALUE"""),60)</f>
        <v>60</v>
      </c>
      <c r="E53" s="3">
        <f ca="1">IFERROR(__xludf.DUMMYFUNCTION("""COMPUTED_VALUE"""),60)</f>
        <v>60</v>
      </c>
      <c r="F53" s="3" t="str">
        <f ca="1">IFERROR(__xludf.DUMMYFUNCTION("""COMPUTED_VALUE"""),"クロニクル百貨店")</f>
        <v>クロニクル百貨店</v>
      </c>
      <c r="G53" s="3" t="str">
        <f ca="1">IFERROR(__xludf.DUMMYFUNCTION("""COMPUTED_VALUE"""),"カウンターシュート")</f>
        <v>カウンターシュート</v>
      </c>
    </row>
    <row r="54" spans="1:7" x14ac:dyDescent="0.25">
      <c r="A54" s="3" t="str">
        <f ca="1">IFERROR(__xludf.DUMMYFUNCTION("""COMPUTED_VALUE"""),"シュート技")</f>
        <v>シュート技</v>
      </c>
      <c r="B54" s="3" t="str">
        <f ca="1">IFERROR(__xludf.DUMMYFUNCTION("""COMPUTED_VALUE"""),"バックトルネード")</f>
        <v>バックトルネード</v>
      </c>
      <c r="C54" s="3" t="str">
        <f ca="1">IFERROR(__xludf.DUMMYFUNCTION("""COMPUTED_VALUE"""),"風")</f>
        <v>風</v>
      </c>
      <c r="D54" s="3">
        <f ca="1">IFERROR(__xludf.DUMMYFUNCTION("""COMPUTED_VALUE"""),60)</f>
        <v>60</v>
      </c>
      <c r="E54" s="3">
        <f ca="1">IFERROR(__xludf.DUMMYFUNCTION("""COMPUTED_VALUE"""),60)</f>
        <v>60</v>
      </c>
      <c r="F54" s="3" t="str">
        <f ca="1">IFERROR(__xludf.DUMMYFUNCTION("""COMPUTED_VALUE"""),"特訓ショップ")</f>
        <v>特訓ショップ</v>
      </c>
      <c r="G54" s="3" t="str">
        <f ca="1">IFERROR(__xludf.DUMMYFUNCTION("""COMPUTED_VALUE"""),"カウンターシュート")</f>
        <v>カウンターシュート</v>
      </c>
    </row>
    <row r="55" spans="1:7" x14ac:dyDescent="0.25">
      <c r="A55" s="3" t="str">
        <f ca="1">IFERROR(__xludf.DUMMYFUNCTION("""COMPUTED_VALUE"""),"シュート技")</f>
        <v>シュート技</v>
      </c>
      <c r="B55" s="3" t="str">
        <f ca="1">IFERROR(__xludf.DUMMYFUNCTION("""COMPUTED_VALUE"""),"ダークトルネード")</f>
        <v>ダークトルネード</v>
      </c>
      <c r="C55" s="3" t="str">
        <f ca="1">IFERROR(__xludf.DUMMYFUNCTION("""COMPUTED_VALUE"""),"林")</f>
        <v>林</v>
      </c>
      <c r="D55" s="3">
        <f ca="1">IFERROR(__xludf.DUMMYFUNCTION("""COMPUTED_VALUE"""),60)</f>
        <v>60</v>
      </c>
      <c r="E55" s="3">
        <f ca="1">IFERROR(__xludf.DUMMYFUNCTION("""COMPUTED_VALUE"""),60)</f>
        <v>60</v>
      </c>
      <c r="F55" s="3" t="str">
        <f ca="1">IFERROR(__xludf.DUMMYFUNCTION("""COMPUTED_VALUE"""),"特訓ショップ")</f>
        <v>特訓ショップ</v>
      </c>
      <c r="G55" s="3" t="str">
        <f ca="1">IFERROR(__xludf.DUMMYFUNCTION("""COMPUTED_VALUE"""),"カウンターシュート")</f>
        <v>カウンターシュート</v>
      </c>
    </row>
    <row r="56" spans="1:7" x14ac:dyDescent="0.25">
      <c r="A56" s="3" t="str">
        <f ca="1">IFERROR(__xludf.DUMMYFUNCTION("""COMPUTED_VALUE"""),"シュート技")</f>
        <v>シュート技</v>
      </c>
      <c r="B56" s="3" t="str">
        <f ca="1">IFERROR(__xludf.DUMMYFUNCTION("""COMPUTED_VALUE"""),"ガニメデプロトン")</f>
        <v>ガニメデプロトン</v>
      </c>
      <c r="C56" s="3" t="str">
        <f ca="1">IFERROR(__xludf.DUMMYFUNCTION("""COMPUTED_VALUE"""),"林")</f>
        <v>林</v>
      </c>
      <c r="D56" s="3">
        <f ca="1">IFERROR(__xludf.DUMMYFUNCTION("""COMPUTED_VALUE"""),60)</f>
        <v>60</v>
      </c>
      <c r="E56" s="3">
        <f ca="1">IFERROR(__xludf.DUMMYFUNCTION("""COMPUTED_VALUE"""),60)</f>
        <v>60</v>
      </c>
      <c r="F56" s="3" t="str">
        <f ca="1">IFERROR(__xludf.DUMMYFUNCTION("""COMPUTED_VALUE"""),"VSストア")</f>
        <v>VSストア</v>
      </c>
      <c r="G56" s="3" t="str">
        <f ca="1">IFERROR(__xludf.DUMMYFUNCTION("""COMPUTED_VALUE"""),"カウンターシュート")</f>
        <v>カウンターシュート</v>
      </c>
    </row>
    <row r="57" spans="1:7" x14ac:dyDescent="0.25">
      <c r="A57" s="3" t="str">
        <f ca="1">IFERROR(__xludf.DUMMYFUNCTION("""COMPUTED_VALUE"""),"シュート技")</f>
        <v>シュート技</v>
      </c>
      <c r="B57" s="3" t="str">
        <f ca="1">IFERROR(__xludf.DUMMYFUNCTION("""COMPUTED_VALUE"""),"バタフライドリーム")</f>
        <v>バタフライドリーム</v>
      </c>
      <c r="C57" s="3" t="str">
        <f ca="1">IFERROR(__xludf.DUMMYFUNCTION("""COMPUTED_VALUE"""),"山")</f>
        <v>山</v>
      </c>
      <c r="D57" s="3">
        <f ca="1">IFERROR(__xludf.DUMMYFUNCTION("""COMPUTED_VALUE"""),60)</f>
        <v>60</v>
      </c>
      <c r="E57" s="3">
        <f ca="1">IFERROR(__xludf.DUMMYFUNCTION("""COMPUTED_VALUE"""),60)</f>
        <v>60</v>
      </c>
      <c r="F57" s="3" t="str">
        <f ca="1">IFERROR(__xludf.DUMMYFUNCTION("""COMPUTED_VALUE"""),"クロニクル百貨店")</f>
        <v>クロニクル百貨店</v>
      </c>
      <c r="G57" s="3" t="str">
        <f ca="1">IFERROR(__xludf.DUMMYFUNCTION("""COMPUTED_VALUE"""),"カウンターシュート")</f>
        <v>カウンターシュート</v>
      </c>
    </row>
    <row r="58" spans="1:7" x14ac:dyDescent="0.25">
      <c r="A58" s="3" t="str">
        <f ca="1">IFERROR(__xludf.DUMMYFUNCTION("""COMPUTED_VALUE"""),"シュート技")</f>
        <v>シュート技</v>
      </c>
      <c r="B58" s="3" t="str">
        <f ca="1">IFERROR(__xludf.DUMMYFUNCTION("""COMPUTED_VALUE"""),"ダークマター")</f>
        <v>ダークマター</v>
      </c>
      <c r="C58" s="3" t="str">
        <f ca="1">IFERROR(__xludf.DUMMYFUNCTION("""COMPUTED_VALUE"""),"林")</f>
        <v>林</v>
      </c>
      <c r="D58" s="3">
        <f ca="1">IFERROR(__xludf.DUMMYFUNCTION("""COMPUTED_VALUE"""),60)</f>
        <v>60</v>
      </c>
      <c r="E58" s="3">
        <f ca="1">IFERROR(__xludf.DUMMYFUNCTION("""COMPUTED_VALUE"""),60)</f>
        <v>60</v>
      </c>
      <c r="F58" s="3" t="str">
        <f ca="1">IFERROR(__xludf.DUMMYFUNCTION("""COMPUTED_VALUE"""),"特訓ショップ")</f>
        <v>特訓ショップ</v>
      </c>
      <c r="G58" s="3" t="str">
        <f ca="1">IFERROR(__xludf.DUMMYFUNCTION("""COMPUTED_VALUE"""),"カウンターシュート")</f>
        <v>カウンターシュート</v>
      </c>
    </row>
    <row r="59" spans="1:7" x14ac:dyDescent="0.25">
      <c r="A59" s="3" t="str">
        <f ca="1">IFERROR(__xludf.DUMMYFUNCTION("""COMPUTED_VALUE"""),"シュート技")</f>
        <v>シュート技</v>
      </c>
      <c r="B59" s="3" t="str">
        <f ca="1">IFERROR(__xludf.DUMMYFUNCTION("""COMPUTED_VALUE"""),"ホワイトハリケーン")</f>
        <v>ホワイトハリケーン</v>
      </c>
      <c r="C59" s="3" t="str">
        <f ca="1">IFERROR(__xludf.DUMMYFUNCTION("""COMPUTED_VALUE"""),"風")</f>
        <v>風</v>
      </c>
      <c r="D59" s="3">
        <f ca="1">IFERROR(__xludf.DUMMYFUNCTION("""COMPUTED_VALUE"""),60)</f>
        <v>60</v>
      </c>
      <c r="E59" s="3">
        <f ca="1">IFERROR(__xludf.DUMMYFUNCTION("""COMPUTED_VALUE"""),60)</f>
        <v>60</v>
      </c>
      <c r="F59" s="3" t="str">
        <f ca="1">IFERROR(__xludf.DUMMYFUNCTION("""COMPUTED_VALUE"""),"秘宝堂")</f>
        <v>秘宝堂</v>
      </c>
      <c r="G59" s="3" t="str">
        <f ca="1">IFERROR(__xludf.DUMMYFUNCTION("""COMPUTED_VALUE"""),"カウンターシュート")</f>
        <v>カウンターシュート</v>
      </c>
    </row>
    <row r="60" spans="1:7" x14ac:dyDescent="0.25">
      <c r="A60" s="3" t="str">
        <f ca="1">IFERROR(__xludf.DUMMYFUNCTION("""COMPUTED_VALUE"""),"シュート技")</f>
        <v>シュート技</v>
      </c>
      <c r="B60" s="3" t="str">
        <f ca="1">IFERROR(__xludf.DUMMYFUNCTION("""COMPUTED_VALUE"""),"ファイアトルネード")</f>
        <v>ファイアトルネード</v>
      </c>
      <c r="C60" s="3" t="str">
        <f ca="1">IFERROR(__xludf.DUMMYFUNCTION("""COMPUTED_VALUE"""),"火")</f>
        <v>火</v>
      </c>
      <c r="D60" s="3">
        <f ca="1">IFERROR(__xludf.DUMMYFUNCTION("""COMPUTED_VALUE"""),60)</f>
        <v>60</v>
      </c>
      <c r="E60" s="3">
        <f ca="1">IFERROR(__xludf.DUMMYFUNCTION("""COMPUTED_VALUE"""),60)</f>
        <v>60</v>
      </c>
      <c r="F60" s="3" t="str">
        <f ca="1">IFERROR(__xludf.DUMMYFUNCTION("""COMPUTED_VALUE"""),"クロニクル百貨店")</f>
        <v>クロニクル百貨店</v>
      </c>
      <c r="G60" s="3"/>
    </row>
    <row r="61" spans="1:7" x14ac:dyDescent="0.25">
      <c r="A61" s="3" t="str">
        <f ca="1">IFERROR(__xludf.DUMMYFUNCTION("""COMPUTED_VALUE"""),"シュート技")</f>
        <v>シュート技</v>
      </c>
      <c r="B61" s="3" t="str">
        <f ca="1">IFERROR(__xludf.DUMMYFUNCTION("""COMPUTED_VALUE"""),"リフレクトバスター")</f>
        <v>リフレクトバスター</v>
      </c>
      <c r="C61" s="3" t="str">
        <f ca="1">IFERROR(__xludf.DUMMYFUNCTION("""COMPUTED_VALUE"""),"山")</f>
        <v>山</v>
      </c>
      <c r="D61" s="3">
        <f ca="1">IFERROR(__xludf.DUMMYFUNCTION("""COMPUTED_VALUE"""),60)</f>
        <v>60</v>
      </c>
      <c r="E61" s="3">
        <f ca="1">IFERROR(__xludf.DUMMYFUNCTION("""COMPUTED_VALUE"""),60)</f>
        <v>60</v>
      </c>
      <c r="F61" s="3" t="str">
        <f ca="1">IFERROR(__xludf.DUMMYFUNCTION("""COMPUTED_VALUE"""),"特訓ショップ")</f>
        <v>特訓ショップ</v>
      </c>
      <c r="G61" s="3"/>
    </row>
    <row r="62" spans="1:7" x14ac:dyDescent="0.25">
      <c r="A62" s="3" t="str">
        <f ca="1">IFERROR(__xludf.DUMMYFUNCTION("""COMPUTED_VALUE"""),"シュート技")</f>
        <v>シュート技</v>
      </c>
      <c r="B62" s="3" t="str">
        <f ca="1">IFERROR(__xludf.DUMMYFUNCTION("""COMPUTED_VALUE"""),"シャインドライブ")</f>
        <v>シャインドライブ</v>
      </c>
      <c r="C62" s="3" t="str">
        <f ca="1">IFERROR(__xludf.DUMMYFUNCTION("""COMPUTED_VALUE"""),"火")</f>
        <v>火</v>
      </c>
      <c r="D62" s="3">
        <f ca="1">IFERROR(__xludf.DUMMYFUNCTION("""COMPUTED_VALUE"""),60)</f>
        <v>60</v>
      </c>
      <c r="E62" s="3">
        <f ca="1">IFERROR(__xludf.DUMMYFUNCTION("""COMPUTED_VALUE"""),60)</f>
        <v>60</v>
      </c>
      <c r="F62" s="3" t="str">
        <f ca="1">IFERROR(__xludf.DUMMYFUNCTION("""COMPUTED_VALUE"""),"秘宝堂")</f>
        <v>秘宝堂</v>
      </c>
      <c r="G62" s="3"/>
    </row>
    <row r="63" spans="1:7" x14ac:dyDescent="0.25">
      <c r="A63" s="3" t="str">
        <f ca="1">IFERROR(__xludf.DUMMYFUNCTION("""COMPUTED_VALUE"""),"シュート技")</f>
        <v>シュート技</v>
      </c>
      <c r="B63" s="3" t="str">
        <f ca="1">IFERROR(__xludf.DUMMYFUNCTION("""COMPUTED_VALUE"""),"ディバインアロー")</f>
        <v>ディバインアロー</v>
      </c>
      <c r="C63" s="3" t="str">
        <f ca="1">IFERROR(__xludf.DUMMYFUNCTION("""COMPUTED_VALUE"""),"風")</f>
        <v>風</v>
      </c>
      <c r="D63" s="3">
        <f ca="1">IFERROR(__xludf.DUMMYFUNCTION("""COMPUTED_VALUE"""),60)</f>
        <v>60</v>
      </c>
      <c r="E63" s="3">
        <f ca="1">IFERROR(__xludf.DUMMYFUNCTION("""COMPUTED_VALUE"""),60)</f>
        <v>60</v>
      </c>
      <c r="F63" s="3" t="str">
        <f ca="1">IFERROR(__xludf.DUMMYFUNCTION("""COMPUTED_VALUE"""),"特訓ショップ")</f>
        <v>特訓ショップ</v>
      </c>
      <c r="G63" s="3"/>
    </row>
    <row r="64" spans="1:7" x14ac:dyDescent="0.25">
      <c r="A64" s="3" t="str">
        <f ca="1">IFERROR(__xludf.DUMMYFUNCTION("""COMPUTED_VALUE"""),"シュート技")</f>
        <v>シュート技</v>
      </c>
      <c r="B64" s="3" t="str">
        <f ca="1">IFERROR(__xludf.DUMMYFUNCTION("""COMPUTED_VALUE"""),"エターナルブリザード")</f>
        <v>エターナルブリザード</v>
      </c>
      <c r="C64" s="3" t="str">
        <f ca="1">IFERROR(__xludf.DUMMYFUNCTION("""COMPUTED_VALUE"""),"風")</f>
        <v>風</v>
      </c>
      <c r="D64" s="3">
        <f ca="1">IFERROR(__xludf.DUMMYFUNCTION("""COMPUTED_VALUE"""),60)</f>
        <v>60</v>
      </c>
      <c r="E64" s="3">
        <f ca="1">IFERROR(__xludf.DUMMYFUNCTION("""COMPUTED_VALUE"""),60)</f>
        <v>60</v>
      </c>
      <c r="F64" s="3" t="str">
        <f ca="1">IFERROR(__xludf.DUMMYFUNCTION("""COMPUTED_VALUE"""),"クロニクル百貨店")</f>
        <v>クロニクル百貨店</v>
      </c>
      <c r="G64" s="3"/>
    </row>
    <row r="65" spans="1:7" x14ac:dyDescent="0.25">
      <c r="A65" s="3" t="str">
        <f ca="1">IFERROR(__xludf.DUMMYFUNCTION("""COMPUTED_VALUE"""),"シュート技")</f>
        <v>シュート技</v>
      </c>
      <c r="B65" s="3" t="str">
        <f ca="1">IFERROR(__xludf.DUMMYFUNCTION("""COMPUTED_VALUE"""),"アストロブレイク")</f>
        <v>アストロブレイク</v>
      </c>
      <c r="C65" s="3" t="str">
        <f ca="1">IFERROR(__xludf.DUMMYFUNCTION("""COMPUTED_VALUE"""),"林")</f>
        <v>林</v>
      </c>
      <c r="D65" s="3">
        <f ca="1">IFERROR(__xludf.DUMMYFUNCTION("""COMPUTED_VALUE"""),60)</f>
        <v>60</v>
      </c>
      <c r="E65" s="3">
        <f ca="1">IFERROR(__xludf.DUMMYFUNCTION("""COMPUTED_VALUE"""),60)</f>
        <v>60</v>
      </c>
      <c r="F65" s="3" t="str">
        <f ca="1">IFERROR(__xludf.DUMMYFUNCTION("""COMPUTED_VALUE"""),"クロニクル百貨店")</f>
        <v>クロニクル百貨店</v>
      </c>
      <c r="G65" s="3"/>
    </row>
    <row r="66" spans="1:7" x14ac:dyDescent="0.25">
      <c r="A66" s="3" t="str">
        <f ca="1">IFERROR(__xludf.DUMMYFUNCTION("""COMPUTED_VALUE"""),"シュート技")</f>
        <v>シュート技</v>
      </c>
      <c r="B66" s="3" t="str">
        <f ca="1">IFERROR(__xludf.DUMMYFUNCTION("""COMPUTED_VALUE"""),"トカチェフボンバー")</f>
        <v>トカチェフボンバー</v>
      </c>
      <c r="C66" s="3" t="str">
        <f ca="1">IFERROR(__xludf.DUMMYFUNCTION("""COMPUTED_VALUE"""),"林")</f>
        <v>林</v>
      </c>
      <c r="D66" s="3">
        <f ca="1">IFERROR(__xludf.DUMMYFUNCTION("""COMPUTED_VALUE"""),60)</f>
        <v>60</v>
      </c>
      <c r="E66" s="3">
        <f ca="1">IFERROR(__xludf.DUMMYFUNCTION("""COMPUTED_VALUE"""),60)</f>
        <v>60</v>
      </c>
      <c r="F66" s="3" t="str">
        <f ca="1">IFERROR(__xludf.DUMMYFUNCTION("""COMPUTED_VALUE"""),"特訓ショップ")</f>
        <v>特訓ショップ</v>
      </c>
      <c r="G66" s="3"/>
    </row>
    <row r="67" spans="1:7" x14ac:dyDescent="0.25">
      <c r="A67" s="3" t="str">
        <f ca="1">IFERROR(__xludf.DUMMYFUNCTION("""COMPUTED_VALUE"""),"シュート技")</f>
        <v>シュート技</v>
      </c>
      <c r="B67" s="3" t="str">
        <f ca="1">IFERROR(__xludf.DUMMYFUNCTION("""COMPUTED_VALUE"""),"ダブルグレネード")</f>
        <v>ダブルグレネード</v>
      </c>
      <c r="C67" s="3" t="str">
        <f ca="1">IFERROR(__xludf.DUMMYFUNCTION("""COMPUTED_VALUE"""),"火")</f>
        <v>火</v>
      </c>
      <c r="D67" s="3">
        <f ca="1">IFERROR(__xludf.DUMMYFUNCTION("""COMPUTED_VALUE"""),60)</f>
        <v>60</v>
      </c>
      <c r="E67" s="3">
        <f ca="1">IFERROR(__xludf.DUMMYFUNCTION("""COMPUTED_VALUE"""),60)</f>
        <v>60</v>
      </c>
      <c r="F67" s="3" t="str">
        <f ca="1">IFERROR(__xludf.DUMMYFUNCTION("""COMPUTED_VALUE"""),"秘宝堂")</f>
        <v>秘宝堂</v>
      </c>
      <c r="G67" s="3"/>
    </row>
    <row r="68" spans="1:7" x14ac:dyDescent="0.25">
      <c r="A68" s="3" t="str">
        <f ca="1">IFERROR(__xludf.DUMMYFUNCTION("""COMPUTED_VALUE"""),"シュート技")</f>
        <v>シュート技</v>
      </c>
      <c r="B68" s="3" t="str">
        <f ca="1">IFERROR(__xludf.DUMMYFUNCTION("""COMPUTED_VALUE"""),"レボリューションV")</f>
        <v>レボリューションV</v>
      </c>
      <c r="C68" s="3" t="str">
        <f ca="1">IFERROR(__xludf.DUMMYFUNCTION("""COMPUTED_VALUE"""),"風")</f>
        <v>風</v>
      </c>
      <c r="D68" s="3">
        <f ca="1">IFERROR(__xludf.DUMMYFUNCTION("""COMPUTED_VALUE"""),60)</f>
        <v>60</v>
      </c>
      <c r="E68" s="3">
        <f ca="1">IFERROR(__xludf.DUMMYFUNCTION("""COMPUTED_VALUE"""),60)</f>
        <v>60</v>
      </c>
      <c r="F68" s="3" t="str">
        <f ca="1">IFERROR(__xludf.DUMMYFUNCTION("""COMPUTED_VALUE"""),"秘宝堂")</f>
        <v>秘宝堂</v>
      </c>
      <c r="G68" s="3"/>
    </row>
    <row r="69" spans="1:7" x14ac:dyDescent="0.25">
      <c r="A69" s="3" t="str">
        <f ca="1">IFERROR(__xludf.DUMMYFUNCTION("""COMPUTED_VALUE"""),"シュート技")</f>
        <v>シュート技</v>
      </c>
      <c r="B69" s="3" t="str">
        <f ca="1">IFERROR(__xludf.DUMMYFUNCTION("""COMPUTED_VALUE"""),"デュアルストライク")</f>
        <v>デュアルストライク</v>
      </c>
      <c r="C69" s="3" t="str">
        <f ca="1">IFERROR(__xludf.DUMMYFUNCTION("""COMPUTED_VALUE"""),"林")</f>
        <v>林</v>
      </c>
      <c r="D69" s="3">
        <f ca="1">IFERROR(__xludf.DUMMYFUNCTION("""COMPUTED_VALUE"""),60)</f>
        <v>60</v>
      </c>
      <c r="E69" s="3">
        <f ca="1">IFERROR(__xludf.DUMMYFUNCTION("""COMPUTED_VALUE"""),60)</f>
        <v>60</v>
      </c>
      <c r="F69" s="3" t="str">
        <f ca="1">IFERROR(__xludf.DUMMYFUNCTION("""COMPUTED_VALUE"""),"秘宝堂")</f>
        <v>秘宝堂</v>
      </c>
      <c r="G69" s="3"/>
    </row>
    <row r="70" spans="1:7" x14ac:dyDescent="0.25">
      <c r="A70" s="3" t="str">
        <f ca="1">IFERROR(__xludf.DUMMYFUNCTION("""COMPUTED_VALUE"""),"シュート技")</f>
        <v>シュート技</v>
      </c>
      <c r="B70" s="3" t="str">
        <f ca="1">IFERROR(__xludf.DUMMYFUNCTION("""COMPUTED_VALUE"""),"セキュリティショット")</f>
        <v>セキュリティショット</v>
      </c>
      <c r="C70" s="3" t="str">
        <f ca="1">IFERROR(__xludf.DUMMYFUNCTION("""COMPUTED_VALUE"""),"林")</f>
        <v>林</v>
      </c>
      <c r="D70" s="3">
        <f ca="1">IFERROR(__xludf.DUMMYFUNCTION("""COMPUTED_VALUE"""),60)</f>
        <v>60</v>
      </c>
      <c r="E70" s="3">
        <f ca="1">IFERROR(__xludf.DUMMYFUNCTION("""COMPUTED_VALUE"""),60)</f>
        <v>60</v>
      </c>
      <c r="F70" s="3" t="str">
        <f ca="1">IFERROR(__xludf.DUMMYFUNCTION("""COMPUTED_VALUE"""),"秘宝堂")</f>
        <v>秘宝堂</v>
      </c>
      <c r="G70" s="3"/>
    </row>
    <row r="71" spans="1:7" x14ac:dyDescent="0.25">
      <c r="A71" s="3" t="str">
        <f ca="1">IFERROR(__xludf.DUMMYFUNCTION("""COMPUTED_VALUE"""),"シュート技")</f>
        <v>シュート技</v>
      </c>
      <c r="B71" s="3" t="str">
        <f ca="1">IFERROR(__xludf.DUMMYFUNCTION("""COMPUTED_VALUE"""),"ワイバーンクラッシュ")</f>
        <v>ワイバーンクラッシュ</v>
      </c>
      <c r="C71" s="3" t="str">
        <f ca="1">IFERROR(__xludf.DUMMYFUNCTION("""COMPUTED_VALUE"""),"林")</f>
        <v>林</v>
      </c>
      <c r="D71" s="3">
        <f ca="1">IFERROR(__xludf.DUMMYFUNCTION("""COMPUTED_VALUE"""),60)</f>
        <v>60</v>
      </c>
      <c r="E71" s="3">
        <f ca="1">IFERROR(__xludf.DUMMYFUNCTION("""COMPUTED_VALUE"""),60)</f>
        <v>60</v>
      </c>
      <c r="F71" s="3" t="str">
        <f ca="1">IFERROR(__xludf.DUMMYFUNCTION("""COMPUTED_VALUE"""),"クロニクル百貨店")</f>
        <v>クロニクル百貨店</v>
      </c>
      <c r="G71" s="3"/>
    </row>
    <row r="72" spans="1:7" x14ac:dyDescent="0.25">
      <c r="A72" s="3" t="str">
        <f ca="1">IFERROR(__xludf.DUMMYFUNCTION("""COMPUTED_VALUE"""),"シュート技")</f>
        <v>シュート技</v>
      </c>
      <c r="B72" s="3" t="str">
        <f ca="1">IFERROR(__xludf.DUMMYFUNCTION("""COMPUTED_VALUE"""),"通天閣シュート")</f>
        <v>通天閣シュート</v>
      </c>
      <c r="C72" s="3" t="str">
        <f ca="1">IFERROR(__xludf.DUMMYFUNCTION("""COMPUTED_VALUE"""),"火")</f>
        <v>火</v>
      </c>
      <c r="D72" s="3">
        <f ca="1">IFERROR(__xludf.DUMMYFUNCTION("""COMPUTED_VALUE"""),60)</f>
        <v>60</v>
      </c>
      <c r="E72" s="3">
        <f ca="1">IFERROR(__xludf.DUMMYFUNCTION("""COMPUTED_VALUE"""),60)</f>
        <v>60</v>
      </c>
      <c r="F72" s="3" t="str">
        <f ca="1">IFERROR(__xludf.DUMMYFUNCTION("""COMPUTED_VALUE"""),"VSストア")</f>
        <v>VSストア</v>
      </c>
      <c r="G72" s="3"/>
    </row>
    <row r="73" spans="1:7" x14ac:dyDescent="0.25">
      <c r="A73" s="3" t="str">
        <f ca="1">IFERROR(__xludf.DUMMYFUNCTION("""COMPUTED_VALUE"""),"シュート技")</f>
        <v>シュート技</v>
      </c>
      <c r="B73" s="3" t="str">
        <f ca="1">IFERROR(__xludf.DUMMYFUNCTION("""COMPUTED_VALUE"""),"ヘルファイア")</f>
        <v>ヘルファイア</v>
      </c>
      <c r="C73" s="3" t="str">
        <f ca="1">IFERROR(__xludf.DUMMYFUNCTION("""COMPUTED_VALUE"""),"火")</f>
        <v>火</v>
      </c>
      <c r="D73" s="3">
        <f ca="1">IFERROR(__xludf.DUMMYFUNCTION("""COMPUTED_VALUE"""),60)</f>
        <v>60</v>
      </c>
      <c r="E73" s="3">
        <f ca="1">IFERROR(__xludf.DUMMYFUNCTION("""COMPUTED_VALUE"""),60)</f>
        <v>60</v>
      </c>
      <c r="F73" s="3" t="str">
        <f ca="1">IFERROR(__xludf.DUMMYFUNCTION("""COMPUTED_VALUE"""),"VSストア")</f>
        <v>VSストア</v>
      </c>
      <c r="G73" s="3"/>
    </row>
    <row r="74" spans="1:7" x14ac:dyDescent="0.25">
      <c r="A74" s="3" t="str">
        <f ca="1">IFERROR(__xludf.DUMMYFUNCTION("""COMPUTED_VALUE"""),"シュート技")</f>
        <v>シュート技</v>
      </c>
      <c r="B74" s="3" t="str">
        <f ca="1">IFERROR(__xludf.DUMMYFUNCTION("""COMPUTED_VALUE"""),"ザ・タイフーン")</f>
        <v>ザ・タイフーン</v>
      </c>
      <c r="C74" s="3" t="str">
        <f ca="1">IFERROR(__xludf.DUMMYFUNCTION("""COMPUTED_VALUE"""),"風")</f>
        <v>風</v>
      </c>
      <c r="D74" s="3">
        <f ca="1">IFERROR(__xludf.DUMMYFUNCTION("""COMPUTED_VALUE"""),60)</f>
        <v>60</v>
      </c>
      <c r="E74" s="3">
        <f ca="1">IFERROR(__xludf.DUMMYFUNCTION("""COMPUTED_VALUE"""),60)</f>
        <v>60</v>
      </c>
      <c r="F74" s="3" t="str">
        <f ca="1">IFERROR(__xludf.DUMMYFUNCTION("""COMPUTED_VALUE"""),"クロニクル百貨店")</f>
        <v>クロニクル百貨店</v>
      </c>
      <c r="G74" s="3"/>
    </row>
    <row r="75" spans="1:7" x14ac:dyDescent="0.25">
      <c r="A75" s="3" t="str">
        <f ca="1">IFERROR(__xludf.DUMMYFUNCTION("""COMPUTED_VALUE"""),"シュート技")</f>
        <v>シュート技</v>
      </c>
      <c r="B75" s="3" t="str">
        <f ca="1">IFERROR(__xludf.DUMMYFUNCTION("""COMPUTED_VALUE"""),"メガロドン")</f>
        <v>メガロドン</v>
      </c>
      <c r="C75" s="3" t="str">
        <f ca="1">IFERROR(__xludf.DUMMYFUNCTION("""COMPUTED_VALUE"""),"風")</f>
        <v>風</v>
      </c>
      <c r="D75" s="3">
        <f ca="1">IFERROR(__xludf.DUMMYFUNCTION("""COMPUTED_VALUE"""),60)</f>
        <v>60</v>
      </c>
      <c r="E75" s="3">
        <f ca="1">IFERROR(__xludf.DUMMYFUNCTION("""COMPUTED_VALUE"""),60)</f>
        <v>60</v>
      </c>
      <c r="F75" s="3" t="str">
        <f ca="1">IFERROR(__xludf.DUMMYFUNCTION("""COMPUTED_VALUE"""),"秘宝堂")</f>
        <v>秘宝堂</v>
      </c>
      <c r="G75" s="3"/>
    </row>
    <row r="76" spans="1:7" x14ac:dyDescent="0.25">
      <c r="A76" s="3" t="str">
        <f ca="1">IFERROR(__xludf.DUMMYFUNCTION("""COMPUTED_VALUE"""),"シュート技")</f>
        <v>シュート技</v>
      </c>
      <c r="B76" s="3" t="str">
        <f ca="1">IFERROR(__xludf.DUMMYFUNCTION("""COMPUTED_VALUE"""),"パラディンストライク")</f>
        <v>パラディンストライク</v>
      </c>
      <c r="C76" s="3" t="str">
        <f ca="1">IFERROR(__xludf.DUMMYFUNCTION("""COMPUTED_VALUE"""),"山")</f>
        <v>山</v>
      </c>
      <c r="D76" s="3">
        <f ca="1">IFERROR(__xludf.DUMMYFUNCTION("""COMPUTED_VALUE"""),60)</f>
        <v>60</v>
      </c>
      <c r="E76" s="3">
        <f ca="1">IFERROR(__xludf.DUMMYFUNCTION("""COMPUTED_VALUE"""),60)</f>
        <v>60</v>
      </c>
      <c r="F76" s="3" t="str">
        <f ca="1">IFERROR(__xludf.DUMMYFUNCTION("""COMPUTED_VALUE"""),"秘宝堂")</f>
        <v>秘宝堂</v>
      </c>
      <c r="G76" s="3"/>
    </row>
    <row r="77" spans="1:7" x14ac:dyDescent="0.25">
      <c r="A77" s="3" t="str">
        <f ca="1">IFERROR(__xludf.DUMMYFUNCTION("""COMPUTED_VALUE"""),"シュート技")</f>
        <v>シュート技</v>
      </c>
      <c r="B77" s="3" t="str">
        <f ca="1">IFERROR(__xludf.DUMMYFUNCTION("""COMPUTED_VALUE"""),"ザ・チューブ")</f>
        <v>ザ・チューブ</v>
      </c>
      <c r="C77" s="3" t="str">
        <f ca="1">IFERROR(__xludf.DUMMYFUNCTION("""COMPUTED_VALUE"""),"風")</f>
        <v>風</v>
      </c>
      <c r="D77" s="3">
        <f ca="1">IFERROR(__xludf.DUMMYFUNCTION("""COMPUTED_VALUE"""),60)</f>
        <v>60</v>
      </c>
      <c r="E77" s="3">
        <f ca="1">IFERROR(__xludf.DUMMYFUNCTION("""COMPUTED_VALUE"""),60)</f>
        <v>60</v>
      </c>
      <c r="F77" s="3" t="str">
        <f ca="1">IFERROR(__xludf.DUMMYFUNCTION("""COMPUTED_VALUE"""),"VSストア")</f>
        <v>VSストア</v>
      </c>
      <c r="G77" s="3"/>
    </row>
    <row r="78" spans="1:7" x14ac:dyDescent="0.25">
      <c r="A78" s="3" t="str">
        <f ca="1">IFERROR(__xludf.DUMMYFUNCTION("""COMPUTED_VALUE"""),"シュート技")</f>
        <v>シュート技</v>
      </c>
      <c r="B78" s="3" t="str">
        <f ca="1">IFERROR(__xludf.DUMMYFUNCTION("""COMPUTED_VALUE"""),"ミラージュシュート")</f>
        <v>ミラージュシュート</v>
      </c>
      <c r="C78" s="3" t="str">
        <f ca="1">IFERROR(__xludf.DUMMYFUNCTION("""COMPUTED_VALUE"""),"林")</f>
        <v>林</v>
      </c>
      <c r="D78" s="3">
        <f ca="1">IFERROR(__xludf.DUMMYFUNCTION("""COMPUTED_VALUE"""),60)</f>
        <v>60</v>
      </c>
      <c r="E78" s="3">
        <f ca="1">IFERROR(__xludf.DUMMYFUNCTION("""COMPUTED_VALUE"""),60)</f>
        <v>60</v>
      </c>
      <c r="F78" s="3" t="str">
        <f ca="1">IFERROR(__xludf.DUMMYFUNCTION("""COMPUTED_VALUE"""),"特訓ショップ")</f>
        <v>特訓ショップ</v>
      </c>
      <c r="G78" s="3"/>
    </row>
    <row r="79" spans="1:7" x14ac:dyDescent="0.25">
      <c r="A79" s="3" t="str">
        <f ca="1">IFERROR(__xludf.DUMMYFUNCTION("""COMPUTED_VALUE"""),"シュート技")</f>
        <v>シュート技</v>
      </c>
      <c r="B79" s="3" t="str">
        <f ca="1">IFERROR(__xludf.DUMMYFUNCTION("""COMPUTED_VALUE"""),"ダブル・ジョー")</f>
        <v>ダブル・ジョー</v>
      </c>
      <c r="C79" s="3" t="str">
        <f ca="1">IFERROR(__xludf.DUMMYFUNCTION("""COMPUTED_VALUE"""),"火")</f>
        <v>火</v>
      </c>
      <c r="D79" s="3">
        <f ca="1">IFERROR(__xludf.DUMMYFUNCTION("""COMPUTED_VALUE"""),60)</f>
        <v>60</v>
      </c>
      <c r="E79" s="3">
        <f ca="1">IFERROR(__xludf.DUMMYFUNCTION("""COMPUTED_VALUE"""),60)</f>
        <v>60</v>
      </c>
      <c r="F79" s="3" t="str">
        <f ca="1">IFERROR(__xludf.DUMMYFUNCTION("""COMPUTED_VALUE"""),"特訓ショップ")</f>
        <v>特訓ショップ</v>
      </c>
      <c r="G79" s="3"/>
    </row>
    <row r="80" spans="1:7" x14ac:dyDescent="0.25">
      <c r="A80" s="3" t="str">
        <f ca="1">IFERROR(__xludf.DUMMYFUNCTION("""COMPUTED_VALUE"""),"シュート技")</f>
        <v>シュート技</v>
      </c>
      <c r="B80" s="3" t="str">
        <f ca="1">IFERROR(__xludf.DUMMYFUNCTION("""COMPUTED_VALUE"""),"マキシマムファイア")</f>
        <v>マキシマムファイア</v>
      </c>
      <c r="C80" s="3" t="str">
        <f ca="1">IFERROR(__xludf.DUMMYFUNCTION("""COMPUTED_VALUE"""),"火")</f>
        <v>火</v>
      </c>
      <c r="D80" s="3">
        <f ca="1">IFERROR(__xludf.DUMMYFUNCTION("""COMPUTED_VALUE"""),60)</f>
        <v>60</v>
      </c>
      <c r="E80" s="3">
        <f ca="1">IFERROR(__xludf.DUMMYFUNCTION("""COMPUTED_VALUE"""),60)</f>
        <v>60</v>
      </c>
      <c r="F80" s="3" t="str">
        <f ca="1">IFERROR(__xludf.DUMMYFUNCTION("""COMPUTED_VALUE"""),"秘宝堂")</f>
        <v>秘宝堂</v>
      </c>
      <c r="G80" s="3"/>
    </row>
    <row r="81" spans="1:7" x14ac:dyDescent="0.25">
      <c r="A81" s="3" t="str">
        <f ca="1">IFERROR(__xludf.DUMMYFUNCTION("""COMPUTED_VALUE"""),"シュート技")</f>
        <v>シュート技</v>
      </c>
      <c r="B81" s="3" t="str">
        <f ca="1">IFERROR(__xludf.DUMMYFUNCTION("""COMPUTED_VALUE"""),"デスソード")</f>
        <v>デスソード</v>
      </c>
      <c r="C81" s="3" t="str">
        <f ca="1">IFERROR(__xludf.DUMMYFUNCTION("""COMPUTED_VALUE"""),"火")</f>
        <v>火</v>
      </c>
      <c r="D81" s="3">
        <f ca="1">IFERROR(__xludf.DUMMYFUNCTION("""COMPUTED_VALUE"""),60)</f>
        <v>60</v>
      </c>
      <c r="E81" s="3">
        <f ca="1">IFERROR(__xludf.DUMMYFUNCTION("""COMPUTED_VALUE"""),60)</f>
        <v>60</v>
      </c>
      <c r="F81" s="3" t="str">
        <f ca="1">IFERROR(__xludf.DUMMYFUNCTION("""COMPUTED_VALUE"""),"クロニクル百貨店")</f>
        <v>クロニクル百貨店</v>
      </c>
      <c r="G81" s="3"/>
    </row>
    <row r="82" spans="1:7" x14ac:dyDescent="0.25">
      <c r="A82" s="3" t="str">
        <f ca="1">IFERROR(__xludf.DUMMYFUNCTION("""COMPUTED_VALUE"""),"シュート技")</f>
        <v>シュート技</v>
      </c>
      <c r="B82" s="3" t="str">
        <f ca="1">IFERROR(__xludf.DUMMYFUNCTION("""COMPUTED_VALUE"""),"伝来宝刀")</f>
        <v>伝来宝刀</v>
      </c>
      <c r="C82" s="3" t="str">
        <f ca="1">IFERROR(__xludf.DUMMYFUNCTION("""COMPUTED_VALUE"""),"山")</f>
        <v>山</v>
      </c>
      <c r="D82" s="3">
        <f ca="1">IFERROR(__xludf.DUMMYFUNCTION("""COMPUTED_VALUE"""),60)</f>
        <v>60</v>
      </c>
      <c r="E82" s="3">
        <f ca="1">IFERROR(__xludf.DUMMYFUNCTION("""COMPUTED_VALUE"""),60)</f>
        <v>60</v>
      </c>
      <c r="F82" s="3" t="str">
        <f ca="1">IFERROR(__xludf.DUMMYFUNCTION("""COMPUTED_VALUE"""),"クロニクル百貨店")</f>
        <v>クロニクル百貨店</v>
      </c>
      <c r="G82" s="3"/>
    </row>
    <row r="83" spans="1:7" x14ac:dyDescent="0.25">
      <c r="A83" s="3" t="str">
        <f ca="1">IFERROR(__xludf.DUMMYFUNCTION("""COMPUTED_VALUE"""),"シュート技")</f>
        <v>シュート技</v>
      </c>
      <c r="B83" s="3" t="str">
        <f ca="1">IFERROR(__xludf.DUMMYFUNCTION("""COMPUTED_VALUE"""),"ロケットヘッド")</f>
        <v>ロケットヘッド</v>
      </c>
      <c r="C83" s="3" t="str">
        <f ca="1">IFERROR(__xludf.DUMMYFUNCTION("""COMPUTED_VALUE"""),"火")</f>
        <v>火</v>
      </c>
      <c r="D83" s="3">
        <f ca="1">IFERROR(__xludf.DUMMYFUNCTION("""COMPUTED_VALUE"""),60)</f>
        <v>60</v>
      </c>
      <c r="E83" s="3">
        <f ca="1">IFERROR(__xludf.DUMMYFUNCTION("""COMPUTED_VALUE"""),60)</f>
        <v>60</v>
      </c>
      <c r="F83" s="3" t="str">
        <f ca="1">IFERROR(__xludf.DUMMYFUNCTION("""COMPUTED_VALUE"""),"秘宝堂")</f>
        <v>秘宝堂</v>
      </c>
      <c r="G83" s="3"/>
    </row>
    <row r="84" spans="1:7" x14ac:dyDescent="0.25">
      <c r="A84" s="3" t="str">
        <f ca="1">IFERROR(__xludf.DUMMYFUNCTION("""COMPUTED_VALUE"""),"シュート技")</f>
        <v>シュート技</v>
      </c>
      <c r="B84" s="3" t="str">
        <f ca="1">IFERROR(__xludf.DUMMYFUNCTION("""COMPUTED_VALUE"""),"マボロシショット")</f>
        <v>マボロシショット</v>
      </c>
      <c r="C84" s="3" t="str">
        <f ca="1">IFERROR(__xludf.DUMMYFUNCTION("""COMPUTED_VALUE"""),"林")</f>
        <v>林</v>
      </c>
      <c r="D84" s="3">
        <f ca="1">IFERROR(__xludf.DUMMYFUNCTION("""COMPUTED_VALUE"""),60)</f>
        <v>60</v>
      </c>
      <c r="E84" s="3">
        <f ca="1">IFERROR(__xludf.DUMMYFUNCTION("""COMPUTED_VALUE"""),60)</f>
        <v>60</v>
      </c>
      <c r="F84" s="3" t="str">
        <f ca="1">IFERROR(__xludf.DUMMYFUNCTION("""COMPUTED_VALUE"""),"秘宝堂")</f>
        <v>秘宝堂</v>
      </c>
      <c r="G84" s="3"/>
    </row>
    <row r="85" spans="1:7" x14ac:dyDescent="0.25">
      <c r="A85" s="3" t="str">
        <f ca="1">IFERROR(__xludf.DUMMYFUNCTION("""COMPUTED_VALUE"""),"シュート技")</f>
        <v>シュート技</v>
      </c>
      <c r="B85" s="3" t="str">
        <f ca="1">IFERROR(__xludf.DUMMYFUNCTION("""COMPUTED_VALUE"""),"ソニックショット")</f>
        <v>ソニックショット</v>
      </c>
      <c r="C85" s="3" t="str">
        <f ca="1">IFERROR(__xludf.DUMMYFUNCTION("""COMPUTED_VALUE"""),"風")</f>
        <v>風</v>
      </c>
      <c r="D85" s="3">
        <f ca="1">IFERROR(__xludf.DUMMYFUNCTION("""COMPUTED_VALUE"""),60)</f>
        <v>60</v>
      </c>
      <c r="E85" s="3">
        <f ca="1">IFERROR(__xludf.DUMMYFUNCTION("""COMPUTED_VALUE"""),60)</f>
        <v>60</v>
      </c>
      <c r="F85" s="3" t="str">
        <f ca="1">IFERROR(__xludf.DUMMYFUNCTION("""COMPUTED_VALUE"""),"秘宝堂")</f>
        <v>秘宝堂</v>
      </c>
      <c r="G85" s="3"/>
    </row>
    <row r="86" spans="1:7" x14ac:dyDescent="0.25">
      <c r="A86" s="3" t="str">
        <f ca="1">IFERROR(__xludf.DUMMYFUNCTION("""COMPUTED_VALUE"""),"シュート技")</f>
        <v>シュート技</v>
      </c>
      <c r="B86" s="3" t="str">
        <f ca="1">IFERROR(__xludf.DUMMYFUNCTION("""COMPUTED_VALUE"""),"バウンサーラビット")</f>
        <v>バウンサーラビット</v>
      </c>
      <c r="C86" s="3" t="str">
        <f ca="1">IFERROR(__xludf.DUMMYFUNCTION("""COMPUTED_VALUE"""),"林")</f>
        <v>林</v>
      </c>
      <c r="D86" s="3">
        <f ca="1">IFERROR(__xludf.DUMMYFUNCTION("""COMPUTED_VALUE"""),60)</f>
        <v>60</v>
      </c>
      <c r="E86" s="3">
        <f ca="1">IFERROR(__xludf.DUMMYFUNCTION("""COMPUTED_VALUE"""),60)</f>
        <v>60</v>
      </c>
      <c r="F86" s="3" t="str">
        <f ca="1">IFERROR(__xludf.DUMMYFUNCTION("""COMPUTED_VALUE"""),"クロニクル百貨店")</f>
        <v>クロニクル百貨店</v>
      </c>
      <c r="G86" s="3"/>
    </row>
    <row r="87" spans="1:7" x14ac:dyDescent="0.25">
      <c r="A87" s="3" t="str">
        <f ca="1">IFERROR(__xludf.DUMMYFUNCTION("""COMPUTED_VALUE"""),"シュート技")</f>
        <v>シュート技</v>
      </c>
      <c r="B87" s="3" t="str">
        <f ca="1">IFERROR(__xludf.DUMMYFUNCTION("""COMPUTED_VALUE"""),"ギアドライブ")</f>
        <v>ギアドライブ</v>
      </c>
      <c r="C87" s="3" t="str">
        <f ca="1">IFERROR(__xludf.DUMMYFUNCTION("""COMPUTED_VALUE"""),"山")</f>
        <v>山</v>
      </c>
      <c r="D87" s="3">
        <f ca="1">IFERROR(__xludf.DUMMYFUNCTION("""COMPUTED_VALUE"""),60)</f>
        <v>60</v>
      </c>
      <c r="E87" s="3">
        <f ca="1">IFERROR(__xludf.DUMMYFUNCTION("""COMPUTED_VALUE"""),60)</f>
        <v>60</v>
      </c>
      <c r="F87" s="3" t="str">
        <f ca="1">IFERROR(__xludf.DUMMYFUNCTION("""COMPUTED_VALUE"""),"特訓ショップ")</f>
        <v>特訓ショップ</v>
      </c>
      <c r="G87" s="3"/>
    </row>
    <row r="88" spans="1:7" x14ac:dyDescent="0.25">
      <c r="A88" s="3" t="str">
        <f ca="1">IFERROR(__xludf.DUMMYFUNCTION("""COMPUTED_VALUE"""),"シュート技")</f>
        <v>シュート技</v>
      </c>
      <c r="B88" s="3" t="str">
        <f ca="1">IFERROR(__xludf.DUMMYFUNCTION("""COMPUTED_VALUE"""),"オーガブレード")</f>
        <v>オーガブレード</v>
      </c>
      <c r="C88" s="3" t="str">
        <f ca="1">IFERROR(__xludf.DUMMYFUNCTION("""COMPUTED_VALUE"""),"山")</f>
        <v>山</v>
      </c>
      <c r="D88" s="3">
        <f ca="1">IFERROR(__xludf.DUMMYFUNCTION("""COMPUTED_VALUE"""),60)</f>
        <v>60</v>
      </c>
      <c r="E88" s="3">
        <f ca="1">IFERROR(__xludf.DUMMYFUNCTION("""COMPUTED_VALUE"""),60)</f>
        <v>60</v>
      </c>
      <c r="F88" s="3" t="str">
        <f ca="1">IFERROR(__xludf.DUMMYFUNCTION("""COMPUTED_VALUE"""),"秘宝堂")</f>
        <v>秘宝堂</v>
      </c>
      <c r="G88" s="3"/>
    </row>
    <row r="89" spans="1:7" x14ac:dyDescent="0.25">
      <c r="A89" s="3" t="str">
        <f ca="1">IFERROR(__xludf.DUMMYFUNCTION("""COMPUTED_VALUE"""),"シュート技")</f>
        <v>シュート技</v>
      </c>
      <c r="B89" s="3" t="str">
        <f ca="1">IFERROR(__xludf.DUMMYFUNCTION("""COMPUTED_VALUE"""),"スプリングアロー")</f>
        <v>スプリングアロー</v>
      </c>
      <c r="C89" s="3" t="str">
        <f ca="1">IFERROR(__xludf.DUMMYFUNCTION("""COMPUTED_VALUE"""),"林")</f>
        <v>林</v>
      </c>
      <c r="D89" s="3">
        <f ca="1">IFERROR(__xludf.DUMMYFUNCTION("""COMPUTED_VALUE"""),60)</f>
        <v>60</v>
      </c>
      <c r="E89" s="3">
        <f ca="1">IFERROR(__xludf.DUMMYFUNCTION("""COMPUTED_VALUE"""),60)</f>
        <v>60</v>
      </c>
      <c r="F89" s="3" t="str">
        <f ca="1">IFERROR(__xludf.DUMMYFUNCTION("""COMPUTED_VALUE"""),"秘宝堂")</f>
        <v>秘宝堂</v>
      </c>
      <c r="G89" s="3"/>
    </row>
    <row r="90" spans="1:7" x14ac:dyDescent="0.25">
      <c r="A90" s="3" t="str">
        <f ca="1">IFERROR(__xludf.DUMMYFUNCTION("""COMPUTED_VALUE"""),"シュート技")</f>
        <v>シュート技</v>
      </c>
      <c r="B90" s="3" t="str">
        <f ca="1">IFERROR(__xludf.DUMMYFUNCTION("""COMPUTED_VALUE"""),"サンシャインブレード")</f>
        <v>サンシャインブレード</v>
      </c>
      <c r="C90" s="3" t="str">
        <f ca="1">IFERROR(__xludf.DUMMYFUNCTION("""COMPUTED_VALUE"""),"火")</f>
        <v>火</v>
      </c>
      <c r="D90" s="3">
        <f ca="1">IFERROR(__xludf.DUMMYFUNCTION("""COMPUTED_VALUE"""),60)</f>
        <v>60</v>
      </c>
      <c r="E90" s="3">
        <f ca="1">IFERROR(__xludf.DUMMYFUNCTION("""COMPUTED_VALUE"""),60)</f>
        <v>60</v>
      </c>
      <c r="F90" s="3" t="str">
        <f ca="1">IFERROR(__xludf.DUMMYFUNCTION("""COMPUTED_VALUE"""),"特訓ショップ")</f>
        <v>特訓ショップ</v>
      </c>
      <c r="G90" s="3"/>
    </row>
    <row r="91" spans="1:7" x14ac:dyDescent="0.25">
      <c r="A91" s="3" t="str">
        <f ca="1">IFERROR(__xludf.DUMMYFUNCTION("""COMPUTED_VALUE"""),"シュート技")</f>
        <v>シュート技</v>
      </c>
      <c r="B91" s="3" t="str">
        <f ca="1">IFERROR(__xludf.DUMMYFUNCTION("""COMPUTED_VALUE"""),"剛の一閃")</f>
        <v>剛の一閃</v>
      </c>
      <c r="C91" s="3" t="str">
        <f ca="1">IFERROR(__xludf.DUMMYFUNCTION("""COMPUTED_VALUE"""),"山")</f>
        <v>山</v>
      </c>
      <c r="D91" s="3">
        <f ca="1">IFERROR(__xludf.DUMMYFUNCTION("""COMPUTED_VALUE"""),60)</f>
        <v>60</v>
      </c>
      <c r="E91" s="3">
        <f ca="1">IFERROR(__xludf.DUMMYFUNCTION("""COMPUTED_VALUE"""),60)</f>
        <v>60</v>
      </c>
      <c r="F91" s="3" t="str">
        <f ca="1">IFERROR(__xludf.DUMMYFUNCTION("""COMPUTED_VALUE"""),"特訓ショップ")</f>
        <v>特訓ショップ</v>
      </c>
      <c r="G91" s="3"/>
    </row>
    <row r="92" spans="1:7" x14ac:dyDescent="0.25">
      <c r="A92" s="3" t="str">
        <f ca="1">IFERROR(__xludf.DUMMYFUNCTION("""COMPUTED_VALUE"""),"シュート技")</f>
        <v>シュート技</v>
      </c>
      <c r="B92" s="3" t="str">
        <f ca="1">IFERROR(__xludf.DUMMYFUNCTION("""COMPUTED_VALUE"""),"天空サンダー")</f>
        <v>天空サンダー</v>
      </c>
      <c r="C92" s="3" t="str">
        <f ca="1">IFERROR(__xludf.DUMMYFUNCTION("""COMPUTED_VALUE"""),"風")</f>
        <v>風</v>
      </c>
      <c r="D92" s="3">
        <f ca="1">IFERROR(__xludf.DUMMYFUNCTION("""COMPUTED_VALUE"""),60)</f>
        <v>60</v>
      </c>
      <c r="E92" s="3">
        <f ca="1">IFERROR(__xludf.DUMMYFUNCTION("""COMPUTED_VALUE"""),60)</f>
        <v>60</v>
      </c>
      <c r="F92" s="3" t="str">
        <f ca="1">IFERROR(__xludf.DUMMYFUNCTION("""COMPUTED_VALUE"""),"特訓ショップ")</f>
        <v>特訓ショップ</v>
      </c>
      <c r="G92" s="3"/>
    </row>
    <row r="93" spans="1:7" x14ac:dyDescent="0.25">
      <c r="A93" s="3" t="str">
        <f ca="1">IFERROR(__xludf.DUMMYFUNCTION("""COMPUTED_VALUE"""),"シュート技")</f>
        <v>シュート技</v>
      </c>
      <c r="B93" s="3" t="str">
        <f ca="1">IFERROR(__xludf.DUMMYFUNCTION("""COMPUTED_VALUE"""),"ウルフレジェンド")</f>
        <v>ウルフレジェンド</v>
      </c>
      <c r="C93" s="3" t="str">
        <f ca="1">IFERROR(__xludf.DUMMYFUNCTION("""COMPUTED_VALUE"""),"風")</f>
        <v>風</v>
      </c>
      <c r="D93" s="3">
        <f ca="1">IFERROR(__xludf.DUMMYFUNCTION("""COMPUTED_VALUE"""),70)</f>
        <v>70</v>
      </c>
      <c r="E93" s="3">
        <f ca="1">IFERROR(__xludf.DUMMYFUNCTION("""COMPUTED_VALUE"""),70)</f>
        <v>70</v>
      </c>
      <c r="F93" s="3" t="str">
        <f ca="1">IFERROR(__xludf.DUMMYFUNCTION("""COMPUTED_VALUE"""),"クロニクル百貨店")</f>
        <v>クロニクル百貨店</v>
      </c>
      <c r="G93" s="3" t="str">
        <f ca="1">IFERROR(__xludf.DUMMYFUNCTION("""COMPUTED_VALUE"""),"ロングシュート")</f>
        <v>ロングシュート</v>
      </c>
    </row>
    <row r="94" spans="1:7" x14ac:dyDescent="0.25">
      <c r="A94" s="3" t="str">
        <f ca="1">IFERROR(__xludf.DUMMYFUNCTION("""COMPUTED_VALUE"""),"シュート技")</f>
        <v>シュート技</v>
      </c>
      <c r="B94" s="3" t="str">
        <f ca="1">IFERROR(__xludf.DUMMYFUNCTION("""COMPUTED_VALUE"""),"グラディウスアーチ")</f>
        <v>グラディウスアーチ</v>
      </c>
      <c r="C94" s="3" t="str">
        <f ca="1">IFERROR(__xludf.DUMMYFUNCTION("""COMPUTED_VALUE"""),"山")</f>
        <v>山</v>
      </c>
      <c r="D94" s="3">
        <f ca="1">IFERROR(__xludf.DUMMYFUNCTION("""COMPUTED_VALUE"""),70)</f>
        <v>70</v>
      </c>
      <c r="E94" s="3">
        <f ca="1">IFERROR(__xludf.DUMMYFUNCTION("""COMPUTED_VALUE"""),70)</f>
        <v>70</v>
      </c>
      <c r="F94" s="3" t="str">
        <f ca="1">IFERROR(__xludf.DUMMYFUNCTION("""COMPUTED_VALUE"""),"クロニクル百貨店")</f>
        <v>クロニクル百貨店</v>
      </c>
      <c r="G94" s="3" t="str">
        <f ca="1">IFERROR(__xludf.DUMMYFUNCTION("""COMPUTED_VALUE"""),"ロングシュート")</f>
        <v>ロングシュート</v>
      </c>
    </row>
    <row r="95" spans="1:7" x14ac:dyDescent="0.25">
      <c r="A95" s="3" t="str">
        <f ca="1">IFERROR(__xludf.DUMMYFUNCTION("""COMPUTED_VALUE"""),"シュート技")</f>
        <v>シュート技</v>
      </c>
      <c r="B95" s="3" t="str">
        <f ca="1">IFERROR(__xludf.DUMMYFUNCTION("""COMPUTED_VALUE"""),"ヘブンドライブ")</f>
        <v>ヘブンドライブ</v>
      </c>
      <c r="C95" s="3" t="str">
        <f ca="1">IFERROR(__xludf.DUMMYFUNCTION("""COMPUTED_VALUE"""),"山")</f>
        <v>山</v>
      </c>
      <c r="D95" s="3">
        <f ca="1">IFERROR(__xludf.DUMMYFUNCTION("""COMPUTED_VALUE"""),70)</f>
        <v>70</v>
      </c>
      <c r="E95" s="3">
        <f ca="1">IFERROR(__xludf.DUMMYFUNCTION("""COMPUTED_VALUE"""),70)</f>
        <v>70</v>
      </c>
      <c r="F95" s="3" t="str">
        <f ca="1">IFERROR(__xludf.DUMMYFUNCTION("""COMPUTED_VALUE"""),"秘宝堂")</f>
        <v>秘宝堂</v>
      </c>
      <c r="G95" s="3" t="str">
        <f ca="1">IFERROR(__xludf.DUMMYFUNCTION("""COMPUTED_VALUE"""),"ロングシュート")</f>
        <v>ロングシュート</v>
      </c>
    </row>
    <row r="96" spans="1:7" x14ac:dyDescent="0.25">
      <c r="A96" s="3" t="str">
        <f ca="1">IFERROR(__xludf.DUMMYFUNCTION("""COMPUTED_VALUE"""),"シュート技")</f>
        <v>シュート技</v>
      </c>
      <c r="B96" s="3" t="str">
        <f ca="1">IFERROR(__xludf.DUMMYFUNCTION("""COMPUTED_VALUE"""),"ガンマストライク")</f>
        <v>ガンマストライク</v>
      </c>
      <c r="C96" s="3" t="str">
        <f ca="1">IFERROR(__xludf.DUMMYFUNCTION("""COMPUTED_VALUE"""),"林")</f>
        <v>林</v>
      </c>
      <c r="D96" s="3">
        <f ca="1">IFERROR(__xludf.DUMMYFUNCTION("""COMPUTED_VALUE"""),70)</f>
        <v>70</v>
      </c>
      <c r="E96" s="3">
        <f ca="1">IFERROR(__xludf.DUMMYFUNCTION("""COMPUTED_VALUE"""),70)</f>
        <v>70</v>
      </c>
      <c r="F96" s="3" t="str">
        <f ca="1">IFERROR(__xludf.DUMMYFUNCTION("""COMPUTED_VALUE"""),"クロニクル百貨店")</f>
        <v>クロニクル百貨店</v>
      </c>
      <c r="G96" s="3" t="str">
        <f ca="1">IFERROR(__xludf.DUMMYFUNCTION("""COMPUTED_VALUE"""),"ロングシュート")</f>
        <v>ロングシュート</v>
      </c>
    </row>
    <row r="97" spans="1:7" x14ac:dyDescent="0.25">
      <c r="A97" s="3" t="str">
        <f ca="1">IFERROR(__xludf.DUMMYFUNCTION("""COMPUTED_VALUE"""),"シュート技")</f>
        <v>シュート技</v>
      </c>
      <c r="B97" s="3" t="str">
        <f ca="1">IFERROR(__xludf.DUMMYFUNCTION("""COMPUTED_VALUE"""),"やきもちスクリュー")</f>
        <v>やきもちスクリュー</v>
      </c>
      <c r="C97" s="3" t="str">
        <f ca="1">IFERROR(__xludf.DUMMYFUNCTION("""COMPUTED_VALUE"""),"火")</f>
        <v>火</v>
      </c>
      <c r="D97" s="3">
        <f ca="1">IFERROR(__xludf.DUMMYFUNCTION("""COMPUTED_VALUE"""),70)</f>
        <v>70</v>
      </c>
      <c r="E97" s="3">
        <f ca="1">IFERROR(__xludf.DUMMYFUNCTION("""COMPUTED_VALUE"""),70)</f>
        <v>70</v>
      </c>
      <c r="F97" s="3" t="str">
        <f ca="1">IFERROR(__xludf.DUMMYFUNCTION("""COMPUTED_VALUE"""),"クロニクル百貨店")</f>
        <v>クロニクル百貨店</v>
      </c>
      <c r="G97" s="3" t="str">
        <f ca="1">IFERROR(__xludf.DUMMYFUNCTION("""COMPUTED_VALUE"""),"ロングシュート")</f>
        <v>ロングシュート</v>
      </c>
    </row>
    <row r="98" spans="1:7" x14ac:dyDescent="0.25">
      <c r="A98" s="3" t="str">
        <f ca="1">IFERROR(__xludf.DUMMYFUNCTION("""COMPUTED_VALUE"""),"シュート技")</f>
        <v>シュート技</v>
      </c>
      <c r="B98" s="3" t="str">
        <f ca="1">IFERROR(__xludf.DUMMYFUNCTION("""COMPUTED_VALUE"""),"イナズマ落とし")</f>
        <v>イナズマ落とし</v>
      </c>
      <c r="C98" s="3" t="str">
        <f ca="1">IFERROR(__xludf.DUMMYFUNCTION("""COMPUTED_VALUE"""),"風")</f>
        <v>風</v>
      </c>
      <c r="D98" s="3">
        <f ca="1">IFERROR(__xludf.DUMMYFUNCTION("""COMPUTED_VALUE"""),70)</f>
        <v>70</v>
      </c>
      <c r="E98" s="3">
        <f ca="1">IFERROR(__xludf.DUMMYFUNCTION("""COMPUTED_VALUE"""),70)</f>
        <v>70</v>
      </c>
      <c r="F98" s="3" t="str">
        <f ca="1">IFERROR(__xludf.DUMMYFUNCTION("""COMPUTED_VALUE"""),"クロニクル百貨店")</f>
        <v>クロニクル百貨店</v>
      </c>
      <c r="G98" s="3" t="str">
        <f ca="1">IFERROR(__xludf.DUMMYFUNCTION("""COMPUTED_VALUE"""),"カウンターシュート")</f>
        <v>カウンターシュート</v>
      </c>
    </row>
    <row r="99" spans="1:7" x14ac:dyDescent="0.25">
      <c r="A99" s="3" t="str">
        <f ca="1">IFERROR(__xludf.DUMMYFUNCTION("""COMPUTED_VALUE"""),"シュート技")</f>
        <v>シュート技</v>
      </c>
      <c r="B99" s="3" t="str">
        <f ca="1">IFERROR(__xludf.DUMMYFUNCTION("""COMPUTED_VALUE"""),"イナズマ1号")</f>
        <v>イナズマ1号</v>
      </c>
      <c r="C99" s="3" t="str">
        <f ca="1">IFERROR(__xludf.DUMMYFUNCTION("""COMPUTED_VALUE"""),"風")</f>
        <v>風</v>
      </c>
      <c r="D99" s="3">
        <f ca="1">IFERROR(__xludf.DUMMYFUNCTION("""COMPUTED_VALUE"""),70)</f>
        <v>70</v>
      </c>
      <c r="E99" s="3">
        <f ca="1">IFERROR(__xludf.DUMMYFUNCTION("""COMPUTED_VALUE"""),70)</f>
        <v>70</v>
      </c>
      <c r="F99" s="3" t="str">
        <f ca="1">IFERROR(__xludf.DUMMYFUNCTION("""COMPUTED_VALUE"""),"クロニクル百貨店")</f>
        <v>クロニクル百貨店</v>
      </c>
      <c r="G99" s="3" t="str">
        <f ca="1">IFERROR(__xludf.DUMMYFUNCTION("""COMPUTED_VALUE"""),"カウンターシュート")</f>
        <v>カウンターシュート</v>
      </c>
    </row>
    <row r="100" spans="1:7" x14ac:dyDescent="0.25">
      <c r="A100" s="3" t="str">
        <f ca="1">IFERROR(__xludf.DUMMYFUNCTION("""COMPUTED_VALUE"""),"シュート技")</f>
        <v>シュート技</v>
      </c>
      <c r="B100" s="3" t="str">
        <f ca="1">IFERROR(__xludf.DUMMYFUNCTION("""COMPUTED_VALUE"""),"流星ブレード")</f>
        <v>流星ブレード</v>
      </c>
      <c r="C100" s="3" t="str">
        <f ca="1">IFERROR(__xludf.DUMMYFUNCTION("""COMPUTED_VALUE"""),"火")</f>
        <v>火</v>
      </c>
      <c r="D100" s="3">
        <f ca="1">IFERROR(__xludf.DUMMYFUNCTION("""COMPUTED_VALUE"""),70)</f>
        <v>70</v>
      </c>
      <c r="E100" s="3">
        <f ca="1">IFERROR(__xludf.DUMMYFUNCTION("""COMPUTED_VALUE"""),70)</f>
        <v>70</v>
      </c>
      <c r="F100" s="3" t="str">
        <f ca="1">IFERROR(__xludf.DUMMYFUNCTION("""COMPUTED_VALUE"""),"クロニクル百貨店")</f>
        <v>クロニクル百貨店</v>
      </c>
      <c r="G100" s="3" t="str">
        <f ca="1">IFERROR(__xludf.DUMMYFUNCTION("""COMPUTED_VALUE"""),"カウンターシュート")</f>
        <v>カウンターシュート</v>
      </c>
    </row>
    <row r="101" spans="1:7" x14ac:dyDescent="0.25">
      <c r="A101" s="3" t="str">
        <f ca="1">IFERROR(__xludf.DUMMYFUNCTION("""COMPUTED_VALUE"""),"シュート技")</f>
        <v>シュート技</v>
      </c>
      <c r="B101" s="3" t="str">
        <f ca="1">IFERROR(__xludf.DUMMYFUNCTION("""COMPUTED_VALUE"""),"アトミックフレア")</f>
        <v>アトミックフレア</v>
      </c>
      <c r="C101" s="3" t="str">
        <f ca="1">IFERROR(__xludf.DUMMYFUNCTION("""COMPUTED_VALUE"""),"火")</f>
        <v>火</v>
      </c>
      <c r="D101" s="3">
        <f ca="1">IFERROR(__xludf.DUMMYFUNCTION("""COMPUTED_VALUE"""),70)</f>
        <v>70</v>
      </c>
      <c r="E101" s="3">
        <f ca="1">IFERROR(__xludf.DUMMYFUNCTION("""COMPUTED_VALUE"""),70)</f>
        <v>70</v>
      </c>
      <c r="F101" s="3" t="str">
        <f ca="1">IFERROR(__xludf.DUMMYFUNCTION("""COMPUTED_VALUE"""),"秘宝堂")</f>
        <v>秘宝堂</v>
      </c>
      <c r="G101" s="3" t="str">
        <f ca="1">IFERROR(__xludf.DUMMYFUNCTION("""COMPUTED_VALUE"""),"カウンターシュート")</f>
        <v>カウンターシュート</v>
      </c>
    </row>
    <row r="102" spans="1:7" x14ac:dyDescent="0.25">
      <c r="A102" s="3" t="str">
        <f ca="1">IFERROR(__xludf.DUMMYFUNCTION("""COMPUTED_VALUE"""),"シュート技")</f>
        <v>シュート技</v>
      </c>
      <c r="B102" s="3" t="str">
        <f ca="1">IFERROR(__xludf.DUMMYFUNCTION("""COMPUTED_VALUE"""),"メガトンヘッド")</f>
        <v>メガトンヘッド</v>
      </c>
      <c r="C102" s="3" t="str">
        <f ca="1">IFERROR(__xludf.DUMMYFUNCTION("""COMPUTED_VALUE"""),"山")</f>
        <v>山</v>
      </c>
      <c r="D102" s="3">
        <f ca="1">IFERROR(__xludf.DUMMYFUNCTION("""COMPUTED_VALUE"""),70)</f>
        <v>70</v>
      </c>
      <c r="E102" s="3">
        <f ca="1">IFERROR(__xludf.DUMMYFUNCTION("""COMPUTED_VALUE"""),70)</f>
        <v>70</v>
      </c>
      <c r="F102" s="3" t="str">
        <f ca="1">IFERROR(__xludf.DUMMYFUNCTION("""COMPUTED_VALUE"""),"クロニクル百貨店")</f>
        <v>クロニクル百貨店</v>
      </c>
      <c r="G102" s="3" t="str">
        <f ca="1">IFERROR(__xludf.DUMMYFUNCTION("""COMPUTED_VALUE"""),"カウンターシュート")</f>
        <v>カウンターシュート</v>
      </c>
    </row>
    <row r="103" spans="1:7" x14ac:dyDescent="0.25">
      <c r="A103" s="3" t="str">
        <f ca="1">IFERROR(__xludf.DUMMYFUNCTION("""COMPUTED_VALUE"""),"シュート技")</f>
        <v>シュート技</v>
      </c>
      <c r="B103" s="3" t="str">
        <f ca="1">IFERROR(__xludf.DUMMYFUNCTION("""COMPUTED_VALUE"""),"双飛遊星弾")</f>
        <v>双飛遊星弾</v>
      </c>
      <c r="C103" s="3" t="str">
        <f ca="1">IFERROR(__xludf.DUMMYFUNCTION("""COMPUTED_VALUE"""),"山")</f>
        <v>山</v>
      </c>
      <c r="D103" s="3">
        <f ca="1">IFERROR(__xludf.DUMMYFUNCTION("""COMPUTED_VALUE"""),70)</f>
        <v>70</v>
      </c>
      <c r="E103" s="3">
        <f ca="1">IFERROR(__xludf.DUMMYFUNCTION("""COMPUTED_VALUE"""),70)</f>
        <v>70</v>
      </c>
      <c r="F103" s="3" t="str">
        <f ca="1">IFERROR(__xludf.DUMMYFUNCTION("""COMPUTED_VALUE"""),"特訓ショップ")</f>
        <v>特訓ショップ</v>
      </c>
      <c r="G103" s="3" t="str">
        <f ca="1">IFERROR(__xludf.DUMMYFUNCTION("""COMPUTED_VALUE"""),"カウンターシュート")</f>
        <v>カウンターシュート</v>
      </c>
    </row>
    <row r="104" spans="1:7" x14ac:dyDescent="0.25">
      <c r="A104" s="3" t="str">
        <f ca="1">IFERROR(__xludf.DUMMYFUNCTION("""COMPUTED_VALUE"""),"シュート技")</f>
        <v>シュート技</v>
      </c>
      <c r="B104" s="3" t="str">
        <f ca="1">IFERROR(__xludf.DUMMYFUNCTION("""COMPUTED_VALUE"""),"ツインブースト")</f>
        <v>ツインブースト</v>
      </c>
      <c r="C104" s="3" t="str">
        <f ca="1">IFERROR(__xludf.DUMMYFUNCTION("""COMPUTED_VALUE"""),"火")</f>
        <v>火</v>
      </c>
      <c r="D104" s="3">
        <f ca="1">IFERROR(__xludf.DUMMYFUNCTION("""COMPUTED_VALUE"""),70)</f>
        <v>70</v>
      </c>
      <c r="E104" s="3">
        <f ca="1">IFERROR(__xludf.DUMMYFUNCTION("""COMPUTED_VALUE"""),70)</f>
        <v>70</v>
      </c>
      <c r="F104" s="3" t="str">
        <f ca="1">IFERROR(__xludf.DUMMYFUNCTION("""COMPUTED_VALUE"""),"クロニクル百貨店")</f>
        <v>クロニクル百貨店</v>
      </c>
      <c r="G104" s="3"/>
    </row>
    <row r="105" spans="1:7" x14ac:dyDescent="0.25">
      <c r="A105" s="3" t="str">
        <f ca="1">IFERROR(__xludf.DUMMYFUNCTION("""COMPUTED_VALUE"""),"シュート技")</f>
        <v>シュート技</v>
      </c>
      <c r="B105" s="3" t="str">
        <f ca="1">IFERROR(__xludf.DUMMYFUNCTION("""COMPUTED_VALUE"""),"デスゾーン")</f>
        <v>デスゾーン</v>
      </c>
      <c r="C105" s="3" t="str">
        <f ca="1">IFERROR(__xludf.DUMMYFUNCTION("""COMPUTED_VALUE"""),"林")</f>
        <v>林</v>
      </c>
      <c r="D105" s="3">
        <f ca="1">IFERROR(__xludf.DUMMYFUNCTION("""COMPUTED_VALUE"""),70)</f>
        <v>70</v>
      </c>
      <c r="E105" s="3">
        <f ca="1">IFERROR(__xludf.DUMMYFUNCTION("""COMPUTED_VALUE"""),70)</f>
        <v>70</v>
      </c>
      <c r="F105" s="3" t="str">
        <f ca="1">IFERROR(__xludf.DUMMYFUNCTION("""COMPUTED_VALUE"""),"クロニクル百貨店")</f>
        <v>クロニクル百貨店</v>
      </c>
      <c r="G105" s="3"/>
    </row>
    <row r="106" spans="1:7" x14ac:dyDescent="0.25">
      <c r="A106" s="3" t="str">
        <f ca="1">IFERROR(__xludf.DUMMYFUNCTION("""COMPUTED_VALUE"""),"シュート技")</f>
        <v>シュート技</v>
      </c>
      <c r="B106" s="3" t="str">
        <f ca="1">IFERROR(__xludf.DUMMYFUNCTION("""COMPUTED_VALUE"""),"トライアンングルZ")</f>
        <v>トライアンングルZ</v>
      </c>
      <c r="C106" s="3" t="str">
        <f ca="1">IFERROR(__xludf.DUMMYFUNCTION("""COMPUTED_VALUE"""),"火")</f>
        <v>火</v>
      </c>
      <c r="D106" s="3">
        <f ca="1">IFERROR(__xludf.DUMMYFUNCTION("""COMPUTED_VALUE"""),70)</f>
        <v>70</v>
      </c>
      <c r="E106" s="3">
        <f ca="1">IFERROR(__xludf.DUMMYFUNCTION("""COMPUTED_VALUE"""),70)</f>
        <v>70</v>
      </c>
      <c r="F106" s="3" t="str">
        <f ca="1">IFERROR(__xludf.DUMMYFUNCTION("""COMPUTED_VALUE"""),"クロニクル百貨店")</f>
        <v>クロニクル百貨店</v>
      </c>
      <c r="G106" s="3"/>
    </row>
    <row r="107" spans="1:7" x14ac:dyDescent="0.25">
      <c r="A107" s="3" t="str">
        <f ca="1">IFERROR(__xludf.DUMMYFUNCTION("""COMPUTED_VALUE"""),"シュート技")</f>
        <v>シュート技</v>
      </c>
      <c r="B107" s="3" t="str">
        <f ca="1">IFERROR(__xludf.DUMMYFUNCTION("""COMPUTED_VALUE"""),"ゴッドノウズ")</f>
        <v>ゴッドノウズ</v>
      </c>
      <c r="C107" s="3" t="str">
        <f ca="1">IFERROR(__xludf.DUMMYFUNCTION("""COMPUTED_VALUE"""),"風")</f>
        <v>風</v>
      </c>
      <c r="D107" s="3">
        <f ca="1">IFERROR(__xludf.DUMMYFUNCTION("""COMPUTED_VALUE"""),70)</f>
        <v>70</v>
      </c>
      <c r="E107" s="3">
        <f ca="1">IFERROR(__xludf.DUMMYFUNCTION("""COMPUTED_VALUE"""),70)</f>
        <v>70</v>
      </c>
      <c r="F107" s="3" t="str">
        <f ca="1">IFERROR(__xludf.DUMMYFUNCTION("""COMPUTED_VALUE"""),"クロニクル百貨店")</f>
        <v>クロニクル百貨店</v>
      </c>
      <c r="G107" s="3"/>
    </row>
    <row r="108" spans="1:7" x14ac:dyDescent="0.25">
      <c r="A108" s="3" t="str">
        <f ca="1">IFERROR(__xludf.DUMMYFUNCTION("""COMPUTED_VALUE"""),"シュート技")</f>
        <v>シュート技</v>
      </c>
      <c r="B108" s="3" t="str">
        <f ca="1">IFERROR(__xludf.DUMMYFUNCTION("""COMPUTED_VALUE"""),"ドラゴントルネード")</f>
        <v>ドラゴントルネード</v>
      </c>
      <c r="C108" s="3" t="str">
        <f ca="1">IFERROR(__xludf.DUMMYFUNCTION("""COMPUTED_VALUE"""),"火")</f>
        <v>火</v>
      </c>
      <c r="D108" s="3">
        <f ca="1">IFERROR(__xludf.DUMMYFUNCTION("""COMPUTED_VALUE"""),70)</f>
        <v>70</v>
      </c>
      <c r="E108" s="3">
        <f ca="1">IFERROR(__xludf.DUMMYFUNCTION("""COMPUTED_VALUE"""),70)</f>
        <v>70</v>
      </c>
      <c r="F108" s="3" t="str">
        <f ca="1">IFERROR(__xludf.DUMMYFUNCTION("""COMPUTED_VALUE"""),"クロニクル百貨店")</f>
        <v>クロニクル百貨店</v>
      </c>
      <c r="G108" s="3"/>
    </row>
    <row r="109" spans="1:7" x14ac:dyDescent="0.25">
      <c r="A109" s="3" t="str">
        <f ca="1">IFERROR(__xludf.DUMMYFUNCTION("""COMPUTED_VALUE"""),"シュート技")</f>
        <v>シュート技</v>
      </c>
      <c r="B109" s="3" t="str">
        <f ca="1">IFERROR(__xludf.DUMMYFUNCTION("""COMPUTED_VALUE"""),"爆熱ストーム")</f>
        <v>爆熱ストーム</v>
      </c>
      <c r="C109" s="3" t="str">
        <f ca="1">IFERROR(__xludf.DUMMYFUNCTION("""COMPUTED_VALUE"""),"火")</f>
        <v>火</v>
      </c>
      <c r="D109" s="3">
        <f ca="1">IFERROR(__xludf.DUMMYFUNCTION("""COMPUTED_VALUE"""),70)</f>
        <v>70</v>
      </c>
      <c r="E109" s="3">
        <f ca="1">IFERROR(__xludf.DUMMYFUNCTION("""COMPUTED_VALUE"""),70)</f>
        <v>70</v>
      </c>
      <c r="F109" s="3" t="str">
        <f ca="1">IFERROR(__xludf.DUMMYFUNCTION("""COMPUTED_VALUE"""),"クロニクル百貨店")</f>
        <v>クロニクル百貨店</v>
      </c>
      <c r="G109" s="3"/>
    </row>
    <row r="110" spans="1:7" x14ac:dyDescent="0.25">
      <c r="A110" s="3" t="str">
        <f ca="1">IFERROR(__xludf.DUMMYFUNCTION("""COMPUTED_VALUE"""),"シュート技")</f>
        <v>シュート技</v>
      </c>
      <c r="B110" s="3" t="str">
        <f ca="1">IFERROR(__xludf.DUMMYFUNCTION("""COMPUTED_VALUE"""),"ユニバースブラスト")</f>
        <v>ユニバースブラスト</v>
      </c>
      <c r="C110" s="3" t="str">
        <f ca="1">IFERROR(__xludf.DUMMYFUNCTION("""COMPUTED_VALUE"""),"林")</f>
        <v>林</v>
      </c>
      <c r="D110" s="3">
        <f ca="1">IFERROR(__xludf.DUMMYFUNCTION("""COMPUTED_VALUE"""),70)</f>
        <v>70</v>
      </c>
      <c r="E110" s="3">
        <f ca="1">IFERROR(__xludf.DUMMYFUNCTION("""COMPUTED_VALUE"""),70)</f>
        <v>70</v>
      </c>
      <c r="F110" s="3" t="str">
        <f ca="1">IFERROR(__xludf.DUMMYFUNCTION("""COMPUTED_VALUE"""),"VSストア")</f>
        <v>VSストア</v>
      </c>
      <c r="G110" s="3"/>
    </row>
    <row r="111" spans="1:7" x14ac:dyDescent="0.25">
      <c r="A111" s="3" t="str">
        <f ca="1">IFERROR(__xludf.DUMMYFUNCTION("""COMPUTED_VALUE"""),"シュート技")</f>
        <v>シュート技</v>
      </c>
      <c r="B111" s="3" t="str">
        <f ca="1">IFERROR(__xludf.DUMMYFUNCTION("""COMPUTED_VALUE"""),"ワイバーンブリザード")</f>
        <v>ワイバーンブリザード</v>
      </c>
      <c r="C111" s="3" t="str">
        <f ca="1">IFERROR(__xludf.DUMMYFUNCTION("""COMPUTED_VALUE"""),"風")</f>
        <v>風</v>
      </c>
      <c r="D111" s="3">
        <f ca="1">IFERROR(__xludf.DUMMYFUNCTION("""COMPUTED_VALUE"""),70)</f>
        <v>70</v>
      </c>
      <c r="E111" s="3">
        <f ca="1">IFERROR(__xludf.DUMMYFUNCTION("""COMPUTED_VALUE"""),70)</f>
        <v>70</v>
      </c>
      <c r="F111" s="3" t="str">
        <f ca="1">IFERROR(__xludf.DUMMYFUNCTION("""COMPUTED_VALUE"""),"クロニクル百貨店")</f>
        <v>クロニクル百貨店</v>
      </c>
      <c r="G111" s="3"/>
    </row>
    <row r="112" spans="1:7" x14ac:dyDescent="0.25">
      <c r="A112" s="3" t="str">
        <f ca="1">IFERROR(__xludf.DUMMYFUNCTION("""COMPUTED_VALUE"""),"シュート技")</f>
        <v>シュート技</v>
      </c>
      <c r="B112" s="3" t="str">
        <f ca="1">IFERROR(__xludf.DUMMYFUNCTION("""COMPUTED_VALUE"""),"ノーザンインパクト")</f>
        <v>ノーザンインパクト</v>
      </c>
      <c r="C112" s="3" t="str">
        <f ca="1">IFERROR(__xludf.DUMMYFUNCTION("""COMPUTED_VALUE"""),"風")</f>
        <v>風</v>
      </c>
      <c r="D112" s="3">
        <f ca="1">IFERROR(__xludf.DUMMYFUNCTION("""COMPUTED_VALUE"""),70)</f>
        <v>70</v>
      </c>
      <c r="E112" s="3">
        <f ca="1">IFERROR(__xludf.DUMMYFUNCTION("""COMPUTED_VALUE"""),70)</f>
        <v>70</v>
      </c>
      <c r="F112" s="3" t="str">
        <f ca="1">IFERROR(__xludf.DUMMYFUNCTION("""COMPUTED_VALUE"""),"秘宝堂")</f>
        <v>秘宝堂</v>
      </c>
      <c r="G112" s="3"/>
    </row>
    <row r="113" spans="1:7" x14ac:dyDescent="0.25">
      <c r="A113" s="3" t="str">
        <f ca="1">IFERROR(__xludf.DUMMYFUNCTION("""COMPUTED_VALUE"""),"シュート技")</f>
        <v>シュート技</v>
      </c>
      <c r="B113" s="3" t="str">
        <f ca="1">IFERROR(__xludf.DUMMYFUNCTION("""COMPUTED_VALUE"""),"サンダービースト")</f>
        <v>サンダービースト</v>
      </c>
      <c r="C113" s="3" t="str">
        <f ca="1">IFERROR(__xludf.DUMMYFUNCTION("""COMPUTED_VALUE"""),"風")</f>
        <v>風</v>
      </c>
      <c r="D113" s="3">
        <f ca="1">IFERROR(__xludf.DUMMYFUNCTION("""COMPUTED_VALUE"""),70)</f>
        <v>70</v>
      </c>
      <c r="E113" s="3">
        <f ca="1">IFERROR(__xludf.DUMMYFUNCTION("""COMPUTED_VALUE"""),70)</f>
        <v>70</v>
      </c>
      <c r="F113" s="3" t="str">
        <f ca="1">IFERROR(__xludf.DUMMYFUNCTION("""COMPUTED_VALUE"""),"VSストア")</f>
        <v>VSストア</v>
      </c>
      <c r="G113" s="3"/>
    </row>
    <row r="114" spans="1:7" x14ac:dyDescent="0.25">
      <c r="A114" s="3" t="str">
        <f ca="1">IFERROR(__xludf.DUMMYFUNCTION("""COMPUTED_VALUE"""),"シュート技")</f>
        <v>シュート技</v>
      </c>
      <c r="B114" s="3" t="str">
        <f ca="1">IFERROR(__xludf.DUMMYFUNCTION("""COMPUTED_VALUE"""),"ドラゴンスレイヤー")</f>
        <v>ドラゴンスレイヤー</v>
      </c>
      <c r="C114" s="3" t="str">
        <f ca="1">IFERROR(__xludf.DUMMYFUNCTION("""COMPUTED_VALUE"""),"林")</f>
        <v>林</v>
      </c>
      <c r="D114" s="3">
        <f ca="1">IFERROR(__xludf.DUMMYFUNCTION("""COMPUTED_VALUE"""),70)</f>
        <v>70</v>
      </c>
      <c r="E114" s="3">
        <f ca="1">IFERROR(__xludf.DUMMYFUNCTION("""COMPUTED_VALUE"""),70)</f>
        <v>70</v>
      </c>
      <c r="F114" s="3" t="str">
        <f ca="1">IFERROR(__xludf.DUMMYFUNCTION("""COMPUTED_VALUE"""),"クロニクル百貨店")</f>
        <v>クロニクル百貨店</v>
      </c>
      <c r="G114" s="3"/>
    </row>
    <row r="115" spans="1:7" x14ac:dyDescent="0.25">
      <c r="A115" s="3" t="str">
        <f ca="1">IFERROR(__xludf.DUMMYFUNCTION("""COMPUTED_VALUE"""),"シュート技")</f>
        <v>シュート技</v>
      </c>
      <c r="B115" s="3" t="str">
        <f ca="1">IFERROR(__xludf.DUMMYFUNCTION("""COMPUTED_VALUE"""),"オーディンソード")</f>
        <v>オーディンソード</v>
      </c>
      <c r="C115" s="3" t="str">
        <f ca="1">IFERROR(__xludf.DUMMYFUNCTION("""COMPUTED_VALUE"""),"山")</f>
        <v>山</v>
      </c>
      <c r="D115" s="3">
        <f ca="1">IFERROR(__xludf.DUMMYFUNCTION("""COMPUTED_VALUE"""),70)</f>
        <v>70</v>
      </c>
      <c r="E115" s="3">
        <f ca="1">IFERROR(__xludf.DUMMYFUNCTION("""COMPUTED_VALUE"""),70)</f>
        <v>70</v>
      </c>
      <c r="F115" s="3" t="str">
        <f ca="1">IFERROR(__xludf.DUMMYFUNCTION("""COMPUTED_VALUE"""),"クロニクル百貨店")</f>
        <v>クロニクル百貨店</v>
      </c>
      <c r="G115" s="3"/>
    </row>
    <row r="116" spans="1:7" x14ac:dyDescent="0.25">
      <c r="A116" s="3" t="str">
        <f ca="1">IFERROR(__xludf.DUMMYFUNCTION("""COMPUTED_VALUE"""),"シュート技")</f>
        <v>シュート技</v>
      </c>
      <c r="B116" s="3" t="str">
        <f ca="1">IFERROR(__xludf.DUMMYFUNCTION("""COMPUTED_VALUE"""),"ペガサスショット")</f>
        <v>ペガサスショット</v>
      </c>
      <c r="C116" s="3" t="str">
        <f ca="1">IFERROR(__xludf.DUMMYFUNCTION("""COMPUTED_VALUE"""),"林")</f>
        <v>林</v>
      </c>
      <c r="D116" s="3">
        <f ca="1">IFERROR(__xludf.DUMMYFUNCTION("""COMPUTED_VALUE"""),70)</f>
        <v>70</v>
      </c>
      <c r="E116" s="3">
        <f ca="1">IFERROR(__xludf.DUMMYFUNCTION("""COMPUTED_VALUE"""),70)</f>
        <v>70</v>
      </c>
      <c r="F116" s="3" t="str">
        <f ca="1">IFERROR(__xludf.DUMMYFUNCTION("""COMPUTED_VALUE"""),"VSストア")</f>
        <v>VSストア</v>
      </c>
      <c r="G116" s="3"/>
    </row>
    <row r="117" spans="1:7" x14ac:dyDescent="0.25">
      <c r="A117" s="3" t="str">
        <f ca="1">IFERROR(__xludf.DUMMYFUNCTION("""COMPUTED_VALUE"""),"シュート技")</f>
        <v>シュート技</v>
      </c>
      <c r="B117" s="3" t="str">
        <f ca="1">IFERROR(__xludf.DUMMYFUNCTION("""COMPUTED_VALUE"""),"Xブラスト")</f>
        <v>Xブラスト</v>
      </c>
      <c r="C117" s="3" t="str">
        <f ca="1">IFERROR(__xludf.DUMMYFUNCTION("""COMPUTED_VALUE"""),"火")</f>
        <v>火</v>
      </c>
      <c r="D117" s="3">
        <f ca="1">IFERROR(__xludf.DUMMYFUNCTION("""COMPUTED_VALUE"""),70)</f>
        <v>70</v>
      </c>
      <c r="E117" s="3">
        <f ca="1">IFERROR(__xludf.DUMMYFUNCTION("""COMPUTED_VALUE"""),70)</f>
        <v>70</v>
      </c>
      <c r="F117" s="3" t="str">
        <f ca="1">IFERROR(__xludf.DUMMYFUNCTION("""COMPUTED_VALUE"""),"クロニクル百貨店")</f>
        <v>クロニクル百貨店</v>
      </c>
      <c r="G117" s="3"/>
    </row>
    <row r="118" spans="1:7" x14ac:dyDescent="0.25">
      <c r="A118" s="3" t="str">
        <f ca="1">IFERROR(__xludf.DUMMYFUNCTION("""COMPUTED_VALUE"""),"シュート技")</f>
        <v>シュート技</v>
      </c>
      <c r="B118" s="3" t="str">
        <f ca="1">IFERROR(__xludf.DUMMYFUNCTION("""COMPUTED_VALUE"""),"ゴッドキャノン")</f>
        <v>ゴッドキャノン</v>
      </c>
      <c r="C118" s="3" t="str">
        <f ca="1">IFERROR(__xludf.DUMMYFUNCTION("""COMPUTED_VALUE"""),"山")</f>
        <v>山</v>
      </c>
      <c r="D118" s="3">
        <f ca="1">IFERROR(__xludf.DUMMYFUNCTION("""COMPUTED_VALUE"""),70)</f>
        <v>70</v>
      </c>
      <c r="E118" s="3">
        <f ca="1">IFERROR(__xludf.DUMMYFUNCTION("""COMPUTED_VALUE"""),70)</f>
        <v>70</v>
      </c>
      <c r="F118" s="3" t="str">
        <f ca="1">IFERROR(__xludf.DUMMYFUNCTION("""COMPUTED_VALUE"""),"VSストア")</f>
        <v>VSストア</v>
      </c>
      <c r="G118" s="3"/>
    </row>
    <row r="119" spans="1:7" x14ac:dyDescent="0.25">
      <c r="A119" s="3" t="str">
        <f ca="1">IFERROR(__xludf.DUMMYFUNCTION("""COMPUTED_VALUE"""),"シュート技")</f>
        <v>シュート技</v>
      </c>
      <c r="B119" s="3" t="str">
        <f ca="1">IFERROR(__xludf.DUMMYFUNCTION("""COMPUTED_VALUE"""),"シャドウ・レイ")</f>
        <v>シャドウ・レイ</v>
      </c>
      <c r="C119" s="3" t="str">
        <f ca="1">IFERROR(__xludf.DUMMYFUNCTION("""COMPUTED_VALUE"""),"山")</f>
        <v>山</v>
      </c>
      <c r="D119" s="3">
        <f ca="1">IFERROR(__xludf.DUMMYFUNCTION("""COMPUTED_VALUE"""),70)</f>
        <v>70</v>
      </c>
      <c r="E119" s="3">
        <f ca="1">IFERROR(__xludf.DUMMYFUNCTION("""COMPUTED_VALUE"""),70)</f>
        <v>70</v>
      </c>
      <c r="F119" s="3" t="str">
        <f ca="1">IFERROR(__xludf.DUMMYFUNCTION("""COMPUTED_VALUE"""),"秘宝堂")</f>
        <v>秘宝堂</v>
      </c>
      <c r="G119" s="3"/>
    </row>
    <row r="120" spans="1:7" x14ac:dyDescent="0.25">
      <c r="A120" s="3" t="str">
        <f ca="1">IFERROR(__xludf.DUMMYFUNCTION("""COMPUTED_VALUE"""),"シュート技")</f>
        <v>シュート技</v>
      </c>
      <c r="B120" s="3" t="str">
        <f ca="1">IFERROR(__xludf.DUMMYFUNCTION("""COMPUTED_VALUE"""),"シャドウ・レイ")</f>
        <v>シャドウ・レイ</v>
      </c>
      <c r="C120" s="3" t="str">
        <f ca="1">IFERROR(__xludf.DUMMYFUNCTION("""COMPUTED_VALUE"""),"林")</f>
        <v>林</v>
      </c>
      <c r="D120" s="3"/>
      <c r="E120" s="3"/>
      <c r="F120" s="3"/>
      <c r="G120" s="3"/>
    </row>
    <row r="121" spans="1:7" x14ac:dyDescent="0.25">
      <c r="A121" s="3" t="str">
        <f ca="1">IFERROR(__xludf.DUMMYFUNCTION("""COMPUTED_VALUE"""),"シュート技")</f>
        <v>シュート技</v>
      </c>
      <c r="B121" s="3" t="str">
        <f ca="1">IFERROR(__xludf.DUMMYFUNCTION("""COMPUTED_VALUE"""),"デスドロップ")</f>
        <v>デスドロップ</v>
      </c>
      <c r="C121" s="3" t="str">
        <f ca="1">IFERROR(__xludf.DUMMYFUNCTION("""COMPUTED_VALUE"""),"火")</f>
        <v>火</v>
      </c>
      <c r="D121" s="3">
        <f ca="1">IFERROR(__xludf.DUMMYFUNCTION("""COMPUTED_VALUE"""),70)</f>
        <v>70</v>
      </c>
      <c r="E121" s="3">
        <f ca="1">IFERROR(__xludf.DUMMYFUNCTION("""COMPUTED_VALUE"""),70)</f>
        <v>70</v>
      </c>
      <c r="F121" s="3" t="str">
        <f ca="1">IFERROR(__xludf.DUMMYFUNCTION("""COMPUTED_VALUE"""),"クロニクル百貨店")</f>
        <v>クロニクル百貨店</v>
      </c>
      <c r="G121" s="3"/>
    </row>
    <row r="122" spans="1:7" x14ac:dyDescent="0.25">
      <c r="A122" s="3" t="str">
        <f ca="1">IFERROR(__xludf.DUMMYFUNCTION("""COMPUTED_VALUE"""),"シュート技")</f>
        <v>シュート技</v>
      </c>
      <c r="B122" s="3" t="str">
        <f ca="1">IFERROR(__xludf.DUMMYFUNCTION("""COMPUTED_VALUE"""),"ジョーカーレインズ")</f>
        <v>ジョーカーレインズ</v>
      </c>
      <c r="C122" s="3" t="str">
        <f ca="1">IFERROR(__xludf.DUMMYFUNCTION("""COMPUTED_VALUE"""),"林")</f>
        <v>林</v>
      </c>
      <c r="D122" s="3">
        <f ca="1">IFERROR(__xludf.DUMMYFUNCTION("""COMPUTED_VALUE"""),70)</f>
        <v>70</v>
      </c>
      <c r="E122" s="3">
        <f ca="1">IFERROR(__xludf.DUMMYFUNCTION("""COMPUTED_VALUE"""),70)</f>
        <v>70</v>
      </c>
      <c r="F122" s="3" t="str">
        <f ca="1">IFERROR(__xludf.DUMMYFUNCTION("""COMPUTED_VALUE"""),"特訓ショップ")</f>
        <v>特訓ショップ</v>
      </c>
      <c r="G122" s="3"/>
    </row>
    <row r="123" spans="1:7" x14ac:dyDescent="0.25">
      <c r="A123" s="3" t="str">
        <f ca="1">IFERROR(__xludf.DUMMYFUNCTION("""COMPUTED_VALUE"""),"シュート技")</f>
        <v>シュート技</v>
      </c>
      <c r="B123" s="3" t="str">
        <f ca="1">IFERROR(__xludf.DUMMYFUNCTION("""COMPUTED_VALUE"""),"デビルバースト")</f>
        <v>デビルバースト</v>
      </c>
      <c r="C123" s="3" t="str">
        <f ca="1">IFERROR(__xludf.DUMMYFUNCTION("""COMPUTED_VALUE"""),"火")</f>
        <v>火</v>
      </c>
      <c r="D123" s="3">
        <f ca="1">IFERROR(__xludf.DUMMYFUNCTION("""COMPUTED_VALUE"""),70)</f>
        <v>70</v>
      </c>
      <c r="E123" s="3">
        <f ca="1">IFERROR(__xludf.DUMMYFUNCTION("""COMPUTED_VALUE"""),70)</f>
        <v>70</v>
      </c>
      <c r="F123" s="3" t="str">
        <f ca="1">IFERROR(__xludf.DUMMYFUNCTION("""COMPUTED_VALUE"""),"VSストア")</f>
        <v>VSストア</v>
      </c>
      <c r="G123" s="3"/>
    </row>
    <row r="124" spans="1:7" x14ac:dyDescent="0.25">
      <c r="A124" s="3" t="str">
        <f ca="1">IFERROR(__xludf.DUMMYFUNCTION("""COMPUTED_VALUE"""),"シュート技")</f>
        <v>シュート技</v>
      </c>
      <c r="B124" s="3" t="str">
        <f ca="1">IFERROR(__xludf.DUMMYFUNCTION("""COMPUTED_VALUE"""),"エクステンドゾーン")</f>
        <v>エクステンドゾーン</v>
      </c>
      <c r="C124" s="3" t="str">
        <f ca="1">IFERROR(__xludf.DUMMYFUNCTION("""COMPUTED_VALUE"""),"林")</f>
        <v>林</v>
      </c>
      <c r="D124" s="3">
        <f ca="1">IFERROR(__xludf.DUMMYFUNCTION("""COMPUTED_VALUE"""),70)</f>
        <v>70</v>
      </c>
      <c r="E124" s="3">
        <f ca="1">IFERROR(__xludf.DUMMYFUNCTION("""COMPUTED_VALUE"""),70)</f>
        <v>70</v>
      </c>
      <c r="F124" s="3" t="str">
        <f ca="1">IFERROR(__xludf.DUMMYFUNCTION("""COMPUTED_VALUE"""),"秘宝堂")</f>
        <v>秘宝堂</v>
      </c>
      <c r="G124" s="3"/>
    </row>
    <row r="125" spans="1:7" x14ac:dyDescent="0.25">
      <c r="A125" s="3" t="str">
        <f ca="1">IFERROR(__xludf.DUMMYFUNCTION("""COMPUTED_VALUE"""),"シュート技")</f>
        <v>シュート技</v>
      </c>
      <c r="B125" s="3" t="str">
        <f ca="1">IFERROR(__xludf.DUMMYFUNCTION("""COMPUTED_VALUE"""),"パンサーブリザード")</f>
        <v>パンサーブリザード</v>
      </c>
      <c r="C125" s="3" t="str">
        <f ca="1">IFERROR(__xludf.DUMMYFUNCTION("""COMPUTED_VALUE"""),"風")</f>
        <v>風</v>
      </c>
      <c r="D125" s="3">
        <f ca="1">IFERROR(__xludf.DUMMYFUNCTION("""COMPUTED_VALUE"""),70)</f>
        <v>70</v>
      </c>
      <c r="E125" s="3">
        <f ca="1">IFERROR(__xludf.DUMMYFUNCTION("""COMPUTED_VALUE"""),70)</f>
        <v>70</v>
      </c>
      <c r="F125" s="3" t="str">
        <f ca="1">IFERROR(__xludf.DUMMYFUNCTION("""COMPUTED_VALUE"""),"特訓ショップ")</f>
        <v>特訓ショップ</v>
      </c>
      <c r="G125" s="3"/>
    </row>
    <row r="126" spans="1:7" x14ac:dyDescent="0.25">
      <c r="A126" s="3" t="str">
        <f ca="1">IFERROR(__xludf.DUMMYFUNCTION("""COMPUTED_VALUE"""),"シュート技")</f>
        <v>シュート技</v>
      </c>
      <c r="B126" s="3" t="str">
        <f ca="1">IFERROR(__xludf.DUMMYFUNCTION("""COMPUTED_VALUE"""),"ブラックアッシュ")</f>
        <v>ブラックアッシュ</v>
      </c>
      <c r="C126" s="3" t="str">
        <f ca="1">IFERROR(__xludf.DUMMYFUNCTION("""COMPUTED_VALUE"""),"林")</f>
        <v>林</v>
      </c>
      <c r="D126" s="3">
        <f ca="1">IFERROR(__xludf.DUMMYFUNCTION("""COMPUTED_VALUE"""),70)</f>
        <v>70</v>
      </c>
      <c r="E126" s="3">
        <f ca="1">IFERROR(__xludf.DUMMYFUNCTION("""COMPUTED_VALUE"""),70)</f>
        <v>70</v>
      </c>
      <c r="F126" s="3" t="str">
        <f ca="1">IFERROR(__xludf.DUMMYFUNCTION("""COMPUTED_VALUE"""),"クロニクル百貨店")</f>
        <v>クロニクル百貨店</v>
      </c>
      <c r="G126" s="3"/>
    </row>
    <row r="127" spans="1:7" x14ac:dyDescent="0.25">
      <c r="A127" s="3" t="str">
        <f ca="1">IFERROR(__xludf.DUMMYFUNCTION("""COMPUTED_VALUE"""),"シュート技")</f>
        <v>シュート技</v>
      </c>
      <c r="B127" s="3" t="str">
        <f ca="1">IFERROR(__xludf.DUMMYFUNCTION("""COMPUTED_VALUE"""),"ドラゴンブラスター")</f>
        <v>ドラゴンブラスター</v>
      </c>
      <c r="C127" s="3" t="str">
        <f ca="1">IFERROR(__xludf.DUMMYFUNCTION("""COMPUTED_VALUE"""),"風")</f>
        <v>風</v>
      </c>
      <c r="D127" s="3">
        <f ca="1">IFERROR(__xludf.DUMMYFUNCTION("""COMPUTED_VALUE"""),70)</f>
        <v>70</v>
      </c>
      <c r="E127" s="3">
        <f ca="1">IFERROR(__xludf.DUMMYFUNCTION("""COMPUTED_VALUE"""),70)</f>
        <v>70</v>
      </c>
      <c r="F127" s="3" t="str">
        <f ca="1">IFERROR(__xludf.DUMMYFUNCTION("""COMPUTED_VALUE"""),"クロニクル百貨店")</f>
        <v>クロニクル百貨店</v>
      </c>
      <c r="G127" s="3"/>
    </row>
    <row r="128" spans="1:7" x14ac:dyDescent="0.25">
      <c r="A128" s="3" t="str">
        <f ca="1">IFERROR(__xludf.DUMMYFUNCTION("""COMPUTED_VALUE"""),"シュート技")</f>
        <v>シュート技</v>
      </c>
      <c r="B128" s="3" t="str">
        <f ca="1">IFERROR(__xludf.DUMMYFUNCTION("""COMPUTED_VALUE"""),"ディザスターブレイク")</f>
        <v>ディザスターブレイク</v>
      </c>
      <c r="C128" s="3" t="str">
        <f ca="1">IFERROR(__xludf.DUMMYFUNCTION("""COMPUTED_VALUE"""),"山")</f>
        <v>山</v>
      </c>
      <c r="D128" s="3">
        <f ca="1">IFERROR(__xludf.DUMMYFUNCTION("""COMPUTED_VALUE"""),70)</f>
        <v>70</v>
      </c>
      <c r="E128" s="3">
        <f ca="1">IFERROR(__xludf.DUMMYFUNCTION("""COMPUTED_VALUE"""),70)</f>
        <v>70</v>
      </c>
      <c r="F128" s="3" t="str">
        <f ca="1">IFERROR(__xludf.DUMMYFUNCTION("""COMPUTED_VALUE"""),"スピリット交換所")</f>
        <v>スピリット交換所</v>
      </c>
      <c r="G128" s="3"/>
    </row>
    <row r="129" spans="1:7" x14ac:dyDescent="0.25">
      <c r="A129" s="3" t="str">
        <f ca="1">IFERROR(__xludf.DUMMYFUNCTION("""COMPUTED_VALUE"""),"シュート技")</f>
        <v>シュート技</v>
      </c>
      <c r="B129" s="3" t="str">
        <f ca="1">IFERROR(__xludf.DUMMYFUNCTION("""COMPUTED_VALUE"""),"ゴッドウィンド")</f>
        <v>ゴッドウィンド</v>
      </c>
      <c r="C129" s="3" t="str">
        <f ca="1">IFERROR(__xludf.DUMMYFUNCTION("""COMPUTED_VALUE"""),"風")</f>
        <v>風</v>
      </c>
      <c r="D129" s="3">
        <f ca="1">IFERROR(__xludf.DUMMYFUNCTION("""COMPUTED_VALUE"""),70)</f>
        <v>70</v>
      </c>
      <c r="E129" s="3">
        <f ca="1">IFERROR(__xludf.DUMMYFUNCTION("""COMPUTED_VALUE"""),70)</f>
        <v>70</v>
      </c>
      <c r="F129" s="3" t="str">
        <f ca="1">IFERROR(__xludf.DUMMYFUNCTION("""COMPUTED_VALUE"""),"VSストア")</f>
        <v>VSストア</v>
      </c>
      <c r="G129" s="3"/>
    </row>
    <row r="130" spans="1:7" x14ac:dyDescent="0.25">
      <c r="A130" s="3" t="str">
        <f ca="1">IFERROR(__xludf.DUMMYFUNCTION("""COMPUTED_VALUE"""),"シュート技")</f>
        <v>シュート技</v>
      </c>
      <c r="B130" s="3" t="str">
        <f ca="1">IFERROR(__xludf.DUMMYFUNCTION("""COMPUTED_VALUE"""),"エクストリームラビット")</f>
        <v>エクストリームラビット</v>
      </c>
      <c r="C130" s="3" t="str">
        <f ca="1">IFERROR(__xludf.DUMMYFUNCTION("""COMPUTED_VALUE"""),"山")</f>
        <v>山</v>
      </c>
      <c r="D130" s="3">
        <f ca="1">IFERROR(__xludf.DUMMYFUNCTION("""COMPUTED_VALUE"""),70)</f>
        <v>70</v>
      </c>
      <c r="E130" s="3">
        <f ca="1">IFERROR(__xludf.DUMMYFUNCTION("""COMPUTED_VALUE"""),70)</f>
        <v>70</v>
      </c>
      <c r="F130" s="3" t="str">
        <f ca="1">IFERROR(__xludf.DUMMYFUNCTION("""COMPUTED_VALUE"""),"クロニクル百貨店")</f>
        <v>クロニクル百貨店</v>
      </c>
      <c r="G130" s="3"/>
    </row>
    <row r="131" spans="1:7" x14ac:dyDescent="0.25">
      <c r="A131" s="3" t="str">
        <f ca="1">IFERROR(__xludf.DUMMYFUNCTION("""COMPUTED_VALUE"""),"シュート技")</f>
        <v>シュート技</v>
      </c>
      <c r="B131" s="3" t="str">
        <f ca="1">IFERROR(__xludf.DUMMYFUNCTION("""COMPUTED_VALUE"""),"チートブラスター")</f>
        <v>チートブラスター</v>
      </c>
      <c r="C131" s="3" t="str">
        <f ca="1">IFERROR(__xludf.DUMMYFUNCTION("""COMPUTED_VALUE"""),"火")</f>
        <v>火</v>
      </c>
      <c r="D131" s="3">
        <f ca="1">IFERROR(__xludf.DUMMYFUNCTION("""COMPUTED_VALUE"""),70)</f>
        <v>70</v>
      </c>
      <c r="E131" s="3">
        <f ca="1">IFERROR(__xludf.DUMMYFUNCTION("""COMPUTED_VALUE"""),70)</f>
        <v>70</v>
      </c>
      <c r="F131" s="3" t="str">
        <f ca="1">IFERROR(__xludf.DUMMYFUNCTION("""COMPUTED_VALUE"""),"特訓ショップ")</f>
        <v>特訓ショップ</v>
      </c>
      <c r="G131" s="3"/>
    </row>
    <row r="132" spans="1:7" x14ac:dyDescent="0.25">
      <c r="A132" s="3" t="str">
        <f ca="1">IFERROR(__xludf.DUMMYFUNCTION("""COMPUTED_VALUE"""),"シュート技")</f>
        <v>シュート技</v>
      </c>
      <c r="B132" s="3" t="str">
        <f ca="1">IFERROR(__xludf.DUMMYFUNCTION("""COMPUTED_VALUE"""),"バハムートクラッシュ")</f>
        <v>バハムートクラッシュ</v>
      </c>
      <c r="C132" s="3" t="str">
        <f ca="1">IFERROR(__xludf.DUMMYFUNCTION("""COMPUTED_VALUE"""),"林")</f>
        <v>林</v>
      </c>
      <c r="D132" s="3">
        <f ca="1">IFERROR(__xludf.DUMMYFUNCTION("""COMPUTED_VALUE"""),70)</f>
        <v>70</v>
      </c>
      <c r="E132" s="3">
        <f ca="1">IFERROR(__xludf.DUMMYFUNCTION("""COMPUTED_VALUE"""),70)</f>
        <v>70</v>
      </c>
      <c r="F132" s="3" t="str">
        <f ca="1">IFERROR(__xludf.DUMMYFUNCTION("""COMPUTED_VALUE"""),"特訓ショップ")</f>
        <v>特訓ショップ</v>
      </c>
      <c r="G132" s="3"/>
    </row>
    <row r="133" spans="1:7" x14ac:dyDescent="0.25">
      <c r="A133" s="3" t="str">
        <f ca="1">IFERROR(__xludf.DUMMYFUNCTION("""COMPUTED_VALUE"""),"シュート技")</f>
        <v>シュート技</v>
      </c>
      <c r="B133" s="3" t="str">
        <f ca="1">IFERROR(__xludf.DUMMYFUNCTION("""COMPUTED_VALUE"""),"トリプルブースト")</f>
        <v>トリプルブースト</v>
      </c>
      <c r="C133" s="3" t="str">
        <f ca="1">IFERROR(__xludf.DUMMYFUNCTION("""COMPUTED_VALUE"""),"火")</f>
        <v>火</v>
      </c>
      <c r="D133" s="3">
        <f ca="1">IFERROR(__xludf.DUMMYFUNCTION("""COMPUTED_VALUE"""),85)</f>
        <v>85</v>
      </c>
      <c r="E133" s="3">
        <f ca="1">IFERROR(__xludf.DUMMYFUNCTION("""COMPUTED_VALUE"""),80)</f>
        <v>80</v>
      </c>
      <c r="F133" s="3" t="str">
        <f ca="1">IFERROR(__xludf.DUMMYFUNCTION("""COMPUTED_VALUE"""),"特訓ショップ")</f>
        <v>特訓ショップ</v>
      </c>
      <c r="G133" s="3" t="str">
        <f ca="1">IFERROR(__xludf.DUMMYFUNCTION("""COMPUTED_VALUE"""),"ロングシュート")</f>
        <v>ロングシュート</v>
      </c>
    </row>
    <row r="134" spans="1:7" x14ac:dyDescent="0.25">
      <c r="A134" s="3" t="str">
        <f ca="1">IFERROR(__xludf.DUMMYFUNCTION("""COMPUTED_VALUE"""),"シュート技")</f>
        <v>シュート技</v>
      </c>
      <c r="B134" s="3" t="str">
        <f ca="1">IFERROR(__xludf.DUMMYFUNCTION("""COMPUTED_VALUE"""),"皇帝ペンギン7")</f>
        <v>皇帝ペンギン7</v>
      </c>
      <c r="C134" s="3" t="str">
        <f ca="1">IFERROR(__xludf.DUMMYFUNCTION("""COMPUTED_VALUE"""),"風")</f>
        <v>風</v>
      </c>
      <c r="D134" s="3">
        <f ca="1">IFERROR(__xludf.DUMMYFUNCTION("""COMPUTED_VALUE"""),85)</f>
        <v>85</v>
      </c>
      <c r="E134" s="3">
        <f ca="1">IFERROR(__xludf.DUMMYFUNCTION("""COMPUTED_VALUE"""),80)</f>
        <v>80</v>
      </c>
      <c r="F134" s="3" t="str">
        <f ca="1">IFERROR(__xludf.DUMMYFUNCTION("""COMPUTED_VALUE"""),"VSストア")</f>
        <v>VSストア</v>
      </c>
      <c r="G134" s="3" t="str">
        <f ca="1">IFERROR(__xludf.DUMMYFUNCTION("""COMPUTED_VALUE"""),"ロングシュート")</f>
        <v>ロングシュート</v>
      </c>
    </row>
    <row r="135" spans="1:7" x14ac:dyDescent="0.25">
      <c r="A135" s="3" t="str">
        <f ca="1">IFERROR(__xludf.DUMMYFUNCTION("""COMPUTED_VALUE"""),"シュート技")</f>
        <v>シュート技</v>
      </c>
      <c r="B135" s="3" t="str">
        <f ca="1">IFERROR(__xludf.DUMMYFUNCTION("""COMPUTED_VALUE"""),"シェルビットバースト")</f>
        <v>シェルビットバースト</v>
      </c>
      <c r="C135" s="3" t="str">
        <f ca="1">IFERROR(__xludf.DUMMYFUNCTION("""COMPUTED_VALUE"""),"無")</f>
        <v>無</v>
      </c>
      <c r="D135" s="3">
        <f ca="1">IFERROR(__xludf.DUMMYFUNCTION("""COMPUTED_VALUE"""),85)</f>
        <v>85</v>
      </c>
      <c r="E135" s="3">
        <f ca="1">IFERROR(__xludf.DUMMYFUNCTION("""COMPUTED_VALUE"""),80)</f>
        <v>80</v>
      </c>
      <c r="F135" s="3" t="str">
        <f ca="1">IFERROR(__xludf.DUMMYFUNCTION("""COMPUTED_VALUE"""),"スピリット交換所")</f>
        <v>スピリット交換所</v>
      </c>
      <c r="G135" s="3" t="str">
        <f ca="1">IFERROR(__xludf.DUMMYFUNCTION("""COMPUTED_VALUE"""),"ロングシュート")</f>
        <v>ロングシュート</v>
      </c>
    </row>
    <row r="136" spans="1:7" x14ac:dyDescent="0.25">
      <c r="A136" s="3" t="str">
        <f ca="1">IFERROR(__xludf.DUMMYFUNCTION("""COMPUTED_VALUE"""),"シュート技")</f>
        <v>シュート技</v>
      </c>
      <c r="B136" s="3" t="str">
        <f ca="1">IFERROR(__xludf.DUMMYFUNCTION("""COMPUTED_VALUE"""),"ゼロマグナム")</f>
        <v>ゼロマグナム</v>
      </c>
      <c r="C136" s="3" t="str">
        <f ca="1">IFERROR(__xludf.DUMMYFUNCTION("""COMPUTED_VALUE"""),"無")</f>
        <v>無</v>
      </c>
      <c r="D136" s="3">
        <f ca="1">IFERROR(__xludf.DUMMYFUNCTION("""COMPUTED_VALUE"""),85)</f>
        <v>85</v>
      </c>
      <c r="E136" s="3">
        <f ca="1">IFERROR(__xludf.DUMMYFUNCTION("""COMPUTED_VALUE"""),80)</f>
        <v>80</v>
      </c>
      <c r="F136" s="3" t="str">
        <f ca="1">IFERROR(__xludf.DUMMYFUNCTION("""COMPUTED_VALUE"""),"ボックス")</f>
        <v>ボックス</v>
      </c>
      <c r="G136" s="3" t="str">
        <f ca="1">IFERROR(__xludf.DUMMYFUNCTION("""COMPUTED_VALUE"""),"カウンターシュート")</f>
        <v>カウンターシュート</v>
      </c>
    </row>
    <row r="137" spans="1:7" x14ac:dyDescent="0.25">
      <c r="A137" s="3" t="str">
        <f ca="1">IFERROR(__xludf.DUMMYFUNCTION("""COMPUTED_VALUE"""),"シュート技")</f>
        <v>シュート技</v>
      </c>
      <c r="B137" s="3" t="str">
        <f ca="1">IFERROR(__xludf.DUMMYFUNCTION("""COMPUTED_VALUE"""),"皇帝ペンギン2号")</f>
        <v>皇帝ペンギン2号</v>
      </c>
      <c r="C137" s="3" t="str">
        <f ca="1">IFERROR(__xludf.DUMMYFUNCTION("""COMPUTED_VALUE"""),"林")</f>
        <v>林</v>
      </c>
      <c r="D137" s="3">
        <f ca="1">IFERROR(__xludf.DUMMYFUNCTION("""COMPUTED_VALUE"""),85)</f>
        <v>85</v>
      </c>
      <c r="E137" s="3">
        <f ca="1">IFERROR(__xludf.DUMMYFUNCTION("""COMPUTED_VALUE"""),80)</f>
        <v>80</v>
      </c>
      <c r="F137" s="3" t="str">
        <f ca="1">IFERROR(__xludf.DUMMYFUNCTION("""COMPUTED_VALUE"""),"クロニクル百貨店")</f>
        <v>クロニクル百貨店</v>
      </c>
      <c r="G137" s="3"/>
    </row>
    <row r="138" spans="1:7" x14ac:dyDescent="0.25">
      <c r="A138" s="3" t="str">
        <f ca="1">IFERROR(__xludf.DUMMYFUNCTION("""COMPUTED_VALUE"""),"シュート技")</f>
        <v>シュート技</v>
      </c>
      <c r="B138" s="3" t="str">
        <f ca="1">IFERROR(__xludf.DUMMYFUNCTION("""COMPUTED_VALUE"""),"ザ・フェニックス")</f>
        <v>ザ・フェニックス</v>
      </c>
      <c r="C138" s="3" t="str">
        <f ca="1">IFERROR(__xludf.DUMMYFUNCTION("""COMPUTED_VALUE"""),"火")</f>
        <v>火</v>
      </c>
      <c r="D138" s="3">
        <f ca="1">IFERROR(__xludf.DUMMYFUNCTION("""COMPUTED_VALUE"""),85)</f>
        <v>85</v>
      </c>
      <c r="E138" s="3">
        <f ca="1">IFERROR(__xludf.DUMMYFUNCTION("""COMPUTED_VALUE"""),80)</f>
        <v>80</v>
      </c>
      <c r="F138" s="3" t="str">
        <f ca="1">IFERROR(__xludf.DUMMYFUNCTION("""COMPUTED_VALUE"""),"ボックス")</f>
        <v>ボックス</v>
      </c>
      <c r="G138" s="3"/>
    </row>
    <row r="139" spans="1:7" x14ac:dyDescent="0.25">
      <c r="A139" s="3" t="str">
        <f ca="1">IFERROR(__xludf.DUMMYFUNCTION("""COMPUTED_VALUE"""),"シュート技")</f>
        <v>シュート技</v>
      </c>
      <c r="B139" s="3" t="str">
        <f ca="1">IFERROR(__xludf.DUMMYFUNCTION("""COMPUTED_VALUE"""),"デスゾーン2")</f>
        <v>デスゾーン2</v>
      </c>
      <c r="C139" s="3" t="str">
        <f ca="1">IFERROR(__xludf.DUMMYFUNCTION("""COMPUTED_VALUE"""),"林")</f>
        <v>林</v>
      </c>
      <c r="D139" s="3">
        <f ca="1">IFERROR(__xludf.DUMMYFUNCTION("""COMPUTED_VALUE"""),85)</f>
        <v>85</v>
      </c>
      <c r="E139" s="3">
        <f ca="1">IFERROR(__xludf.DUMMYFUNCTION("""COMPUTED_VALUE"""),80)</f>
        <v>80</v>
      </c>
      <c r="F139" s="3" t="str">
        <f ca="1">IFERROR(__xludf.DUMMYFUNCTION("""COMPUTED_VALUE"""),"クロニクル百貨店")</f>
        <v>クロニクル百貨店</v>
      </c>
      <c r="G139" s="3"/>
    </row>
    <row r="140" spans="1:7" x14ac:dyDescent="0.25">
      <c r="A140" s="3" t="str">
        <f ca="1">IFERROR(__xludf.DUMMYFUNCTION("""COMPUTED_VALUE"""),"シュート技")</f>
        <v>シュート技</v>
      </c>
      <c r="B140" s="3" t="str">
        <f ca="1">IFERROR(__xludf.DUMMYFUNCTION("""COMPUTED_VALUE"""),"皇帝ペンギン1号")</f>
        <v>皇帝ペンギン1号</v>
      </c>
      <c r="C140" s="3" t="str">
        <f ca="1">IFERROR(__xludf.DUMMYFUNCTION("""COMPUTED_VALUE"""),"林")</f>
        <v>林</v>
      </c>
      <c r="D140" s="3">
        <f ca="1">IFERROR(__xludf.DUMMYFUNCTION("""COMPUTED_VALUE"""),85)</f>
        <v>85</v>
      </c>
      <c r="E140" s="3">
        <f ca="1">IFERROR(__xludf.DUMMYFUNCTION("""COMPUTED_VALUE"""),80)</f>
        <v>80</v>
      </c>
      <c r="F140" s="3" t="str">
        <f ca="1">IFERROR(__xludf.DUMMYFUNCTION("""COMPUTED_VALUE"""),"クロニクル百貨店")</f>
        <v>クロニクル百貨店</v>
      </c>
      <c r="G140" s="3"/>
    </row>
    <row r="141" spans="1:7" x14ac:dyDescent="0.25">
      <c r="A141" s="3" t="str">
        <f ca="1">IFERROR(__xludf.DUMMYFUNCTION("""COMPUTED_VALUE"""),"シュート技")</f>
        <v>シュート技</v>
      </c>
      <c r="B141" s="3" t="str">
        <f ca="1">IFERROR(__xludf.DUMMYFUNCTION("""COMPUTED_VALUE"""),"トライペガサス")</f>
        <v>トライペガサス</v>
      </c>
      <c r="C141" s="3" t="str">
        <f ca="1">IFERROR(__xludf.DUMMYFUNCTION("""COMPUTED_VALUE"""),"風")</f>
        <v>風</v>
      </c>
      <c r="D141" s="3">
        <f ca="1">IFERROR(__xludf.DUMMYFUNCTION("""COMPUTED_VALUE"""),85)</f>
        <v>85</v>
      </c>
      <c r="E141" s="3">
        <f ca="1">IFERROR(__xludf.DUMMYFUNCTION("""COMPUTED_VALUE"""),80)</f>
        <v>80</v>
      </c>
      <c r="F141" s="3" t="str">
        <f ca="1">IFERROR(__xludf.DUMMYFUNCTION("""COMPUTED_VALUE"""),"クロニクル百貨店")</f>
        <v>クロニクル百貨店</v>
      </c>
      <c r="G141" s="3"/>
    </row>
    <row r="142" spans="1:7" x14ac:dyDescent="0.25">
      <c r="A142" s="3" t="str">
        <f ca="1">IFERROR(__xludf.DUMMYFUNCTION("""COMPUTED_VALUE"""),"シュート技")</f>
        <v>シュート技</v>
      </c>
      <c r="B142" s="3" t="str">
        <f ca="1">IFERROR(__xludf.DUMMYFUNCTION("""COMPUTED_VALUE"""),"イナズマ1号落とし")</f>
        <v>イナズマ1号落とし</v>
      </c>
      <c r="C142" s="3" t="str">
        <f ca="1">IFERROR(__xludf.DUMMYFUNCTION("""COMPUTED_VALUE"""),"風")</f>
        <v>風</v>
      </c>
      <c r="D142" s="3">
        <f ca="1">IFERROR(__xludf.DUMMYFUNCTION("""COMPUTED_VALUE"""),85)</f>
        <v>85</v>
      </c>
      <c r="E142" s="3">
        <f ca="1">IFERROR(__xludf.DUMMYFUNCTION("""COMPUTED_VALUE"""),80)</f>
        <v>80</v>
      </c>
      <c r="F142" s="3" t="str">
        <f ca="1">IFERROR(__xludf.DUMMYFUNCTION("""COMPUTED_VALUE"""),"VSストア")</f>
        <v>VSストア</v>
      </c>
      <c r="G142" s="3"/>
    </row>
    <row r="143" spans="1:7" x14ac:dyDescent="0.25">
      <c r="A143" s="3" t="str">
        <f ca="1">IFERROR(__xludf.DUMMYFUNCTION("""COMPUTED_VALUE"""),"シュート技")</f>
        <v>シュート技</v>
      </c>
      <c r="B143" s="3" t="str">
        <f ca="1">IFERROR(__xludf.DUMMYFUNCTION("""COMPUTED_VALUE"""),"ガイアブレイク")</f>
        <v>ガイアブレイク</v>
      </c>
      <c r="C143" s="3" t="str">
        <f ca="1">IFERROR(__xludf.DUMMYFUNCTION("""COMPUTED_VALUE"""),"山")</f>
        <v>山</v>
      </c>
      <c r="D143" s="3">
        <f ca="1">IFERROR(__xludf.DUMMYFUNCTION("""COMPUTED_VALUE"""),85)</f>
        <v>85</v>
      </c>
      <c r="E143" s="3">
        <f ca="1">IFERROR(__xludf.DUMMYFUNCTION("""COMPUTED_VALUE"""),80)</f>
        <v>80</v>
      </c>
      <c r="F143" s="3" t="str">
        <f ca="1">IFERROR(__xludf.DUMMYFUNCTION("""COMPUTED_VALUE"""),"VSストア")</f>
        <v>VSストア</v>
      </c>
      <c r="G143" s="3"/>
    </row>
    <row r="144" spans="1:7" x14ac:dyDescent="0.25">
      <c r="A144" s="3" t="str">
        <f ca="1">IFERROR(__xludf.DUMMYFUNCTION("""COMPUTED_VALUE"""),"シュート技")</f>
        <v>シュート技</v>
      </c>
      <c r="B144" s="3" t="str">
        <f ca="1">IFERROR(__xludf.DUMMYFUNCTION("""COMPUTED_VALUE"""),"ツインブーストF")</f>
        <v>ツインブーストF</v>
      </c>
      <c r="C144" s="3" t="str">
        <f ca="1">IFERROR(__xludf.DUMMYFUNCTION("""COMPUTED_VALUE"""),"火")</f>
        <v>火</v>
      </c>
      <c r="D144" s="3">
        <f ca="1">IFERROR(__xludf.DUMMYFUNCTION("""COMPUTED_VALUE"""),85)</f>
        <v>85</v>
      </c>
      <c r="E144" s="3">
        <f ca="1">IFERROR(__xludf.DUMMYFUNCTION("""COMPUTED_VALUE"""),80)</f>
        <v>80</v>
      </c>
      <c r="F144" s="3" t="str">
        <f ca="1">IFERROR(__xludf.DUMMYFUNCTION("""COMPUTED_VALUE"""),"クロニクル百貨店")</f>
        <v>クロニクル百貨店</v>
      </c>
      <c r="G144" s="3"/>
    </row>
    <row r="145" spans="1:7" x14ac:dyDescent="0.25">
      <c r="A145" s="3" t="str">
        <f ca="1">IFERROR(__xludf.DUMMYFUNCTION("""COMPUTED_VALUE"""),"シュート技")</f>
        <v>シュート技</v>
      </c>
      <c r="B145" s="3" t="str">
        <f ca="1">IFERROR(__xludf.DUMMYFUNCTION("""COMPUTED_VALUE"""),"ファイアブリザード")</f>
        <v>ファイアブリザード</v>
      </c>
      <c r="C145" s="3" t="str">
        <f ca="1">IFERROR(__xludf.DUMMYFUNCTION("""COMPUTED_VALUE"""),"風")</f>
        <v>風</v>
      </c>
      <c r="D145" s="3">
        <f ca="1">IFERROR(__xludf.DUMMYFUNCTION("""COMPUTED_VALUE"""),85)</f>
        <v>85</v>
      </c>
      <c r="E145" s="3">
        <f ca="1">IFERROR(__xludf.DUMMYFUNCTION("""COMPUTED_VALUE"""),80)</f>
        <v>80</v>
      </c>
      <c r="F145" s="3" t="str">
        <f ca="1">IFERROR(__xludf.DUMMYFUNCTION("""COMPUTED_VALUE"""),"特訓ショップ")</f>
        <v>特訓ショップ</v>
      </c>
      <c r="G145" s="3"/>
    </row>
    <row r="146" spans="1:7" x14ac:dyDescent="0.25">
      <c r="A146" s="3" t="str">
        <f ca="1">IFERROR(__xludf.DUMMYFUNCTION("""COMPUTED_VALUE"""),"シュート技")</f>
        <v>シュート技</v>
      </c>
      <c r="B146" s="3" t="str">
        <f ca="1">IFERROR(__xludf.DUMMYFUNCTION("""COMPUTED_VALUE"""),"ゴッドブレイク")</f>
        <v>ゴッドブレイク</v>
      </c>
      <c r="C146" s="3" t="str">
        <f ca="1">IFERROR(__xludf.DUMMYFUNCTION("""COMPUTED_VALUE"""),"風")</f>
        <v>風</v>
      </c>
      <c r="D146" s="3">
        <f ca="1">IFERROR(__xludf.DUMMYFUNCTION("""COMPUTED_VALUE"""),85)</f>
        <v>85</v>
      </c>
      <c r="E146" s="3">
        <f ca="1">IFERROR(__xludf.DUMMYFUNCTION("""COMPUTED_VALUE"""),80)</f>
        <v>80</v>
      </c>
      <c r="F146" s="3" t="str">
        <f ca="1">IFERROR(__xludf.DUMMYFUNCTION("""COMPUTED_VALUE"""),"ボックス")</f>
        <v>ボックス</v>
      </c>
      <c r="G146" s="3"/>
    </row>
    <row r="147" spans="1:7" x14ac:dyDescent="0.25">
      <c r="A147" s="3" t="str">
        <f ca="1">IFERROR(__xludf.DUMMYFUNCTION("""COMPUTED_VALUE"""),"シュート技")</f>
        <v>シュート技</v>
      </c>
      <c r="B147" s="3" t="str">
        <f ca="1">IFERROR(__xludf.DUMMYFUNCTION("""COMPUTED_VALUE"""),"竜巻落とし")</f>
        <v>竜巻落とし</v>
      </c>
      <c r="C147" s="3" t="str">
        <f ca="1">IFERROR(__xludf.DUMMYFUNCTION("""COMPUTED_VALUE"""),"風")</f>
        <v>風</v>
      </c>
      <c r="D147" s="3">
        <f ca="1">IFERROR(__xludf.DUMMYFUNCTION("""COMPUTED_VALUE"""),85)</f>
        <v>85</v>
      </c>
      <c r="E147" s="3">
        <f ca="1">IFERROR(__xludf.DUMMYFUNCTION("""COMPUTED_VALUE"""),80)</f>
        <v>80</v>
      </c>
      <c r="F147" s="3" t="str">
        <f ca="1">IFERROR(__xludf.DUMMYFUNCTION("""COMPUTED_VALUE"""),"特訓ショップ")</f>
        <v>特訓ショップ</v>
      </c>
      <c r="G147" s="3"/>
    </row>
    <row r="148" spans="1:7" x14ac:dyDescent="0.25">
      <c r="A148" s="3" t="str">
        <f ca="1">IFERROR(__xludf.DUMMYFUNCTION("""COMPUTED_VALUE"""),"シュート技")</f>
        <v>シュート技</v>
      </c>
      <c r="B148" s="3" t="str">
        <f ca="1">IFERROR(__xludf.DUMMYFUNCTION("""COMPUTED_VALUE"""),"タイガーストーム")</f>
        <v>タイガーストーム</v>
      </c>
      <c r="C148" s="3" t="str">
        <f ca="1">IFERROR(__xludf.DUMMYFUNCTION("""COMPUTED_VALUE"""),"火")</f>
        <v>火</v>
      </c>
      <c r="D148" s="3">
        <f ca="1">IFERROR(__xludf.DUMMYFUNCTION("""COMPUTED_VALUE"""),85)</f>
        <v>85</v>
      </c>
      <c r="E148" s="3">
        <f ca="1">IFERROR(__xludf.DUMMYFUNCTION("""COMPUTED_VALUE"""),80)</f>
        <v>80</v>
      </c>
      <c r="F148" s="3" t="str">
        <f ca="1">IFERROR(__xludf.DUMMYFUNCTION("""COMPUTED_VALUE"""),"クロニクル百貨店")</f>
        <v>クロニクル百貨店</v>
      </c>
      <c r="G148" s="3"/>
    </row>
    <row r="149" spans="1:7" x14ac:dyDescent="0.25">
      <c r="A149" s="3" t="str">
        <f ca="1">IFERROR(__xludf.DUMMYFUNCTION("""COMPUTED_VALUE"""),"シュート技")</f>
        <v>シュート技</v>
      </c>
      <c r="B149" s="3" t="str">
        <f ca="1">IFERROR(__xludf.DUMMYFUNCTION("""COMPUTED_VALUE"""),"グランフェンリル")</f>
        <v>グランフェンリル</v>
      </c>
      <c r="C149" s="3" t="str">
        <f ca="1">IFERROR(__xludf.DUMMYFUNCTION("""COMPUTED_VALUE"""),"林")</f>
        <v>林</v>
      </c>
      <c r="D149" s="3">
        <f ca="1">IFERROR(__xludf.DUMMYFUNCTION("""COMPUTED_VALUE"""),85)</f>
        <v>85</v>
      </c>
      <c r="E149" s="3">
        <f ca="1">IFERROR(__xludf.DUMMYFUNCTION("""COMPUTED_VALUE"""),80)</f>
        <v>80</v>
      </c>
      <c r="F149" s="3" t="str">
        <f ca="1">IFERROR(__xludf.DUMMYFUNCTION("""COMPUTED_VALUE"""),"スピリット交換所")</f>
        <v>スピリット交換所</v>
      </c>
      <c r="G149" s="3"/>
    </row>
    <row r="150" spans="1:7" x14ac:dyDescent="0.25">
      <c r="A150" s="3" t="str">
        <f ca="1">IFERROR(__xludf.DUMMYFUNCTION("""COMPUTED_VALUE"""),"シュート技")</f>
        <v>シュート技</v>
      </c>
      <c r="B150" s="3" t="str">
        <f ca="1">IFERROR(__xludf.DUMMYFUNCTION("""COMPUTED_VALUE"""),"ザ・バース")</f>
        <v>ザ・バース</v>
      </c>
      <c r="C150" s="3" t="str">
        <f ca="1">IFERROR(__xludf.DUMMYFUNCTION("""COMPUTED_VALUE"""),"風")</f>
        <v>風</v>
      </c>
      <c r="D150" s="3">
        <f ca="1">IFERROR(__xludf.DUMMYFUNCTION("""COMPUTED_VALUE"""),85)</f>
        <v>85</v>
      </c>
      <c r="E150" s="3">
        <f ca="1">IFERROR(__xludf.DUMMYFUNCTION("""COMPUTED_VALUE"""),80)</f>
        <v>80</v>
      </c>
      <c r="F150" s="3" t="str">
        <f ca="1">IFERROR(__xludf.DUMMYFUNCTION("""COMPUTED_VALUE"""),"スピリット交換所")</f>
        <v>スピリット交換所</v>
      </c>
      <c r="G150" s="3"/>
    </row>
    <row r="151" spans="1:7" x14ac:dyDescent="0.25">
      <c r="A151" s="3" t="str">
        <f ca="1">IFERROR(__xludf.DUMMYFUNCTION("""COMPUTED_VALUE"""),"シュート技")</f>
        <v>シュート技</v>
      </c>
      <c r="B151" s="3" t="str">
        <f ca="1">IFERROR(__xludf.DUMMYFUNCTION("""COMPUTED_VALUE"""),"ザ・ハリケーン")</f>
        <v>ザ・ハリケーン</v>
      </c>
      <c r="C151" s="3" t="str">
        <f ca="1">IFERROR(__xludf.DUMMYFUNCTION("""COMPUTED_VALUE"""),"風")</f>
        <v>風</v>
      </c>
      <c r="D151" s="3">
        <f ca="1">IFERROR(__xludf.DUMMYFUNCTION("""COMPUTED_VALUE"""),85)</f>
        <v>85</v>
      </c>
      <c r="E151" s="3">
        <f ca="1">IFERROR(__xludf.DUMMYFUNCTION("""COMPUTED_VALUE"""),80)</f>
        <v>80</v>
      </c>
      <c r="F151" s="3" t="str">
        <f ca="1">IFERROR(__xludf.DUMMYFUNCTION("""COMPUTED_VALUE"""),"クロニクル百貨店")</f>
        <v>クロニクル百貨店</v>
      </c>
      <c r="G151" s="3"/>
    </row>
    <row r="152" spans="1:7" x14ac:dyDescent="0.25">
      <c r="A152" s="3" t="str">
        <f ca="1">IFERROR(__xludf.DUMMYFUNCTION("""COMPUTED_VALUE"""),"シュート技")</f>
        <v>シュート技</v>
      </c>
      <c r="B152" s="3" t="str">
        <f ca="1">IFERROR(__xludf.DUMMYFUNCTION("""COMPUTED_VALUE"""),"爆熱スクリュー")</f>
        <v>爆熱スクリュー</v>
      </c>
      <c r="C152" s="3" t="str">
        <f ca="1">IFERROR(__xludf.DUMMYFUNCTION("""COMPUTED_VALUE"""),"火")</f>
        <v>火</v>
      </c>
      <c r="D152" s="3">
        <f ca="1">IFERROR(__xludf.DUMMYFUNCTION("""COMPUTED_VALUE"""),85)</f>
        <v>85</v>
      </c>
      <c r="E152" s="3">
        <f ca="1">IFERROR(__xludf.DUMMYFUNCTION("""COMPUTED_VALUE"""),80)</f>
        <v>80</v>
      </c>
      <c r="F152" s="3" t="str">
        <f ca="1">IFERROR(__xludf.DUMMYFUNCTION("""COMPUTED_VALUE"""),"クロニクル百貨店")</f>
        <v>クロニクル百貨店</v>
      </c>
      <c r="G152" s="3"/>
    </row>
    <row r="153" spans="1:7" x14ac:dyDescent="0.25">
      <c r="A153" s="3" t="str">
        <f ca="1">IFERROR(__xludf.DUMMYFUNCTION("""COMPUTED_VALUE"""),"シュート技")</f>
        <v>シュート技</v>
      </c>
      <c r="B153" s="3" t="str">
        <f ca="1">IFERROR(__xludf.DUMMYFUNCTION("""COMPUTED_VALUE"""),"ユニコーンブースト")</f>
        <v>ユニコーンブースト</v>
      </c>
      <c r="C153" s="3" t="str">
        <f ca="1">IFERROR(__xludf.DUMMYFUNCTION("""COMPUTED_VALUE"""),"山")</f>
        <v>山</v>
      </c>
      <c r="D153" s="3">
        <f ca="1">IFERROR(__xludf.DUMMYFUNCTION("""COMPUTED_VALUE"""),85)</f>
        <v>85</v>
      </c>
      <c r="E153" s="3">
        <f ca="1">IFERROR(__xludf.DUMMYFUNCTION("""COMPUTED_VALUE"""),80)</f>
        <v>80</v>
      </c>
      <c r="F153" s="3" t="str">
        <f ca="1">IFERROR(__xludf.DUMMYFUNCTION("""COMPUTED_VALUE"""),"VSストア")</f>
        <v>VSストア</v>
      </c>
      <c r="G153" s="3"/>
    </row>
    <row r="154" spans="1:7" x14ac:dyDescent="0.25">
      <c r="A154" s="3" t="str">
        <f ca="1">IFERROR(__xludf.DUMMYFUNCTION("""COMPUTED_VALUE"""),"シュート技")</f>
        <v>シュート技</v>
      </c>
      <c r="B154" s="3" t="str">
        <f ca="1">IFERROR(__xludf.DUMMYFUNCTION("""COMPUTED_VALUE"""),"スリングショット")</f>
        <v>スリングショット</v>
      </c>
      <c r="C154" s="3" t="str">
        <f ca="1">IFERROR(__xludf.DUMMYFUNCTION("""COMPUTED_VALUE"""),"山")</f>
        <v>山</v>
      </c>
      <c r="D154" s="3">
        <f ca="1">IFERROR(__xludf.DUMMYFUNCTION("""COMPUTED_VALUE"""),85)</f>
        <v>85</v>
      </c>
      <c r="E154" s="3">
        <f ca="1">IFERROR(__xludf.DUMMYFUNCTION("""COMPUTED_VALUE"""),80)</f>
        <v>80</v>
      </c>
      <c r="F154" s="3" t="str">
        <f ca="1">IFERROR(__xludf.DUMMYFUNCTION("""COMPUTED_VALUE"""),"秘宝堂")</f>
        <v>秘宝堂</v>
      </c>
      <c r="G154" s="3"/>
    </row>
    <row r="155" spans="1:7" x14ac:dyDescent="0.25">
      <c r="A155" s="3" t="str">
        <f ca="1">IFERROR(__xludf.DUMMYFUNCTION("""COMPUTED_VALUE"""),"シュート技")</f>
        <v>シュート技</v>
      </c>
      <c r="B155" s="3" t="str">
        <f ca="1">IFERROR(__xludf.DUMMYFUNCTION("""COMPUTED_VALUE"""),"皇帝ペンギンX")</f>
        <v>皇帝ペンギンX</v>
      </c>
      <c r="C155" s="3" t="str">
        <f ca="1">IFERROR(__xludf.DUMMYFUNCTION("""COMPUTED_VALUE"""),"火")</f>
        <v>火</v>
      </c>
      <c r="D155" s="3">
        <f ca="1">IFERROR(__xludf.DUMMYFUNCTION("""COMPUTED_VALUE"""),85)</f>
        <v>85</v>
      </c>
      <c r="E155" s="3">
        <f ca="1">IFERROR(__xludf.DUMMYFUNCTION("""COMPUTED_VALUE"""),80)</f>
        <v>80</v>
      </c>
      <c r="F155" s="3" t="str">
        <f ca="1">IFERROR(__xludf.DUMMYFUNCTION("""COMPUTED_VALUE"""),"ボックス")</f>
        <v>ボックス</v>
      </c>
      <c r="G155" s="3"/>
    </row>
    <row r="156" spans="1:7" x14ac:dyDescent="0.25">
      <c r="A156" s="3" t="str">
        <f ca="1">IFERROR(__xludf.DUMMYFUNCTION("""COMPUTED_VALUE"""),"シュート技")</f>
        <v>シュート技</v>
      </c>
      <c r="B156" s="3" t="str">
        <f ca="1">IFERROR(__xludf.DUMMYFUNCTION("""COMPUTED_VALUE"""),"天空落とし")</f>
        <v>天空落とし</v>
      </c>
      <c r="C156" s="3" t="str">
        <f ca="1">IFERROR(__xludf.DUMMYFUNCTION("""COMPUTED_VALUE"""),"火")</f>
        <v>火</v>
      </c>
      <c r="D156" s="3">
        <f ca="1">IFERROR(__xludf.DUMMYFUNCTION("""COMPUTED_VALUE"""),85)</f>
        <v>85</v>
      </c>
      <c r="E156" s="3">
        <f ca="1">IFERROR(__xludf.DUMMYFUNCTION("""COMPUTED_VALUE"""),80)</f>
        <v>80</v>
      </c>
      <c r="F156" s="3" t="str">
        <f ca="1">IFERROR(__xludf.DUMMYFUNCTION("""COMPUTED_VALUE"""),"ボックス")</f>
        <v>ボックス</v>
      </c>
      <c r="G156" s="3"/>
    </row>
    <row r="157" spans="1:7" x14ac:dyDescent="0.25">
      <c r="A157" s="3" t="str">
        <f ca="1">IFERROR(__xludf.DUMMYFUNCTION("""COMPUTED_VALUE"""),"シュート技")</f>
        <v>シュート技</v>
      </c>
      <c r="B157" s="3" t="str">
        <f ca="1">IFERROR(__xludf.DUMMYFUNCTION("""COMPUTED_VALUE"""),"トライアングルZZ")</f>
        <v>トライアングルZZ</v>
      </c>
      <c r="C157" s="3" t="str">
        <f ca="1">IFERROR(__xludf.DUMMYFUNCTION("""COMPUTED_VALUE"""),"火")</f>
        <v>火</v>
      </c>
      <c r="D157" s="3">
        <f ca="1">IFERROR(__xludf.DUMMYFUNCTION("""COMPUTED_VALUE"""),85)</f>
        <v>85</v>
      </c>
      <c r="E157" s="3">
        <f ca="1">IFERROR(__xludf.DUMMYFUNCTION("""COMPUTED_VALUE"""),80)</f>
        <v>80</v>
      </c>
      <c r="F157" s="3" t="str">
        <f ca="1">IFERROR(__xludf.DUMMYFUNCTION("""COMPUTED_VALUE"""),"クロニクル百貨店")</f>
        <v>クロニクル百貨店</v>
      </c>
      <c r="G157" s="3"/>
    </row>
    <row r="158" spans="1:7" x14ac:dyDescent="0.25">
      <c r="A158" s="3" t="str">
        <f ca="1">IFERROR(__xludf.DUMMYFUNCTION("""COMPUTED_VALUE"""),"シュート技")</f>
        <v>シュート技</v>
      </c>
      <c r="B158" s="3" t="str">
        <f ca="1">IFERROR(__xludf.DUMMYFUNCTION("""COMPUTED_VALUE"""),"風林火山デストロイヤー")</f>
        <v>風林火山デストロイヤー</v>
      </c>
      <c r="C158" s="3" t="str">
        <f ca="1">IFERROR(__xludf.DUMMYFUNCTION("""COMPUTED_VALUE"""),"無")</f>
        <v>無</v>
      </c>
      <c r="D158" s="3">
        <f ca="1">IFERROR(__xludf.DUMMYFUNCTION("""COMPUTED_VALUE"""),85)</f>
        <v>85</v>
      </c>
      <c r="E158" s="3">
        <f ca="1">IFERROR(__xludf.DUMMYFUNCTION("""COMPUTED_VALUE"""),80)</f>
        <v>80</v>
      </c>
      <c r="F158" s="3" t="str">
        <f ca="1">IFERROR(__xludf.DUMMYFUNCTION("""COMPUTED_VALUE"""),"ボックス")</f>
        <v>ボックス</v>
      </c>
      <c r="G158" s="3"/>
    </row>
    <row r="159" spans="1:7" x14ac:dyDescent="0.25">
      <c r="A159" s="3" t="str">
        <f ca="1">IFERROR(__xludf.DUMMYFUNCTION("""COMPUTED_VALUE"""),"シュート技")</f>
        <v>シュート技</v>
      </c>
      <c r="B159" s="3" t="str">
        <f ca="1">IFERROR(__xludf.DUMMYFUNCTION("""COMPUTED_VALUE"""),"ファイアトルネードDD")</f>
        <v>ファイアトルネードDD</v>
      </c>
      <c r="C159" s="3" t="str">
        <f ca="1">IFERROR(__xludf.DUMMYFUNCTION("""COMPUTED_VALUE"""),"火")</f>
        <v>火</v>
      </c>
      <c r="D159" s="3">
        <f ca="1">IFERROR(__xludf.DUMMYFUNCTION("""COMPUTED_VALUE"""),85)</f>
        <v>85</v>
      </c>
      <c r="E159" s="3">
        <f ca="1">IFERROR(__xludf.DUMMYFUNCTION("""COMPUTED_VALUE"""),80)</f>
        <v>80</v>
      </c>
      <c r="F159" s="3" t="str">
        <f ca="1">IFERROR(__xludf.DUMMYFUNCTION("""COMPUTED_VALUE"""),"スピリット交換所")</f>
        <v>スピリット交換所</v>
      </c>
      <c r="G159" s="3"/>
    </row>
    <row r="160" spans="1:7" x14ac:dyDescent="0.25">
      <c r="A160" s="3" t="str">
        <f ca="1">IFERROR(__xludf.DUMMYFUNCTION("""COMPUTED_VALUE"""),"シュート技")</f>
        <v>シュート技</v>
      </c>
      <c r="B160" s="3" t="str">
        <f ca="1">IFERROR(__xludf.DUMMYFUNCTION("""COMPUTED_VALUE"""),"天地雷鳴")</f>
        <v>天地雷鳴</v>
      </c>
      <c r="C160" s="3" t="str">
        <f ca="1">IFERROR(__xludf.DUMMYFUNCTION("""COMPUTED_VALUE"""),"風")</f>
        <v>風</v>
      </c>
      <c r="D160" s="3">
        <f ca="1">IFERROR(__xludf.DUMMYFUNCTION("""COMPUTED_VALUE"""),85)</f>
        <v>85</v>
      </c>
      <c r="E160" s="3">
        <f ca="1">IFERROR(__xludf.DUMMYFUNCTION("""COMPUTED_VALUE"""),80)</f>
        <v>80</v>
      </c>
      <c r="F160" s="3"/>
      <c r="G160" s="3"/>
    </row>
    <row r="161" spans="1:7" x14ac:dyDescent="0.25">
      <c r="A161" s="3" t="str">
        <f ca="1">IFERROR(__xludf.DUMMYFUNCTION("""COMPUTED_VALUE"""),"シュート技")</f>
        <v>シュート技</v>
      </c>
      <c r="B161" s="3" t="str">
        <f ca="1">IFERROR(__xludf.DUMMYFUNCTION("""COMPUTED_VALUE"""),"デッドフューチャー")</f>
        <v>デッドフューチャー</v>
      </c>
      <c r="C161" s="3" t="str">
        <f ca="1">IFERROR(__xludf.DUMMYFUNCTION("""COMPUTED_VALUE"""),"火")</f>
        <v>火</v>
      </c>
      <c r="D161" s="3">
        <f ca="1">IFERROR(__xludf.DUMMYFUNCTION("""COMPUTED_VALUE"""),85)</f>
        <v>85</v>
      </c>
      <c r="E161" s="3">
        <f ca="1">IFERROR(__xludf.DUMMYFUNCTION("""COMPUTED_VALUE"""),80)</f>
        <v>80</v>
      </c>
      <c r="F161" s="3" t="str">
        <f ca="1">IFERROR(__xludf.DUMMYFUNCTION("""COMPUTED_VALUE"""),"クロニクル百貨店")</f>
        <v>クロニクル百貨店</v>
      </c>
      <c r="G161" s="3"/>
    </row>
    <row r="162" spans="1:7" x14ac:dyDescent="0.25">
      <c r="A162" s="3" t="str">
        <f ca="1">IFERROR(__xludf.DUMMYFUNCTION("""COMPUTED_VALUE"""),"シュート技")</f>
        <v>シュート技</v>
      </c>
      <c r="B162" s="3" t="str">
        <f ca="1">IFERROR(__xludf.DUMMYFUNCTION("""COMPUTED_VALUE"""),"ペンギン・ザ・パレード")</f>
        <v>ペンギン・ザ・パレード</v>
      </c>
      <c r="C162" s="3" t="str">
        <f ca="1">IFERROR(__xludf.DUMMYFUNCTION("""COMPUTED_VALUE"""),"林")</f>
        <v>林</v>
      </c>
      <c r="D162" s="3">
        <f ca="1">IFERROR(__xludf.DUMMYFUNCTION("""COMPUTED_VALUE"""),85)</f>
        <v>85</v>
      </c>
      <c r="E162" s="3">
        <f ca="1">IFERROR(__xludf.DUMMYFUNCTION("""COMPUTED_VALUE"""),80)</f>
        <v>80</v>
      </c>
      <c r="F162" s="3" t="str">
        <f ca="1">IFERROR(__xludf.DUMMYFUNCTION("""COMPUTED_VALUE"""),"特訓ショップ")</f>
        <v>特訓ショップ</v>
      </c>
      <c r="G162" s="3"/>
    </row>
    <row r="163" spans="1:7" x14ac:dyDescent="0.25">
      <c r="A163" s="3" t="str">
        <f ca="1">IFERROR(__xludf.DUMMYFUNCTION("""COMPUTED_VALUE"""),"シュート技")</f>
        <v>シュート技</v>
      </c>
      <c r="B163" s="3" t="str">
        <f ca="1">IFERROR(__xludf.DUMMYFUNCTION("""COMPUTED_VALUE"""),"メテオッド・ファイアトルネード")</f>
        <v>メテオッド・ファイアトルネード</v>
      </c>
      <c r="C163" s="3" t="str">
        <f ca="1">IFERROR(__xludf.DUMMYFUNCTION("""COMPUTED_VALUE"""),"火")</f>
        <v>火</v>
      </c>
      <c r="D163" s="3">
        <f ca="1">IFERROR(__xludf.DUMMYFUNCTION("""COMPUTED_VALUE"""),85)</f>
        <v>85</v>
      </c>
      <c r="E163" s="3">
        <f ca="1">IFERROR(__xludf.DUMMYFUNCTION("""COMPUTED_VALUE"""),80)</f>
        <v>80</v>
      </c>
      <c r="F163" s="3" t="str">
        <f ca="1">IFERROR(__xludf.DUMMYFUNCTION("""COMPUTED_VALUE"""),"特訓ショップ")</f>
        <v>特訓ショップ</v>
      </c>
      <c r="G163" s="3"/>
    </row>
    <row r="164" spans="1:7" x14ac:dyDescent="0.25">
      <c r="A164" s="3" t="str">
        <f ca="1">IFERROR(__xludf.DUMMYFUNCTION("""COMPUTED_VALUE"""),"シュート技")</f>
        <v>シュート技</v>
      </c>
      <c r="B164" s="3" t="str">
        <f ca="1">IFERROR(__xludf.DUMMYFUNCTION("""COMPUTED_VALUE"""),"ジェットストリーム")</f>
        <v>ジェットストリーム</v>
      </c>
      <c r="C164" s="3" t="str">
        <f ca="1">IFERROR(__xludf.DUMMYFUNCTION("""COMPUTED_VALUE"""),"山")</f>
        <v>山</v>
      </c>
      <c r="D164" s="3">
        <f ca="1">IFERROR(__xludf.DUMMYFUNCTION("""COMPUTED_VALUE"""),100)</f>
        <v>100</v>
      </c>
      <c r="E164" s="3">
        <f ca="1">IFERROR(__xludf.DUMMYFUNCTION("""COMPUTED_VALUE"""),100)</f>
        <v>100</v>
      </c>
      <c r="F164" s="3" t="str">
        <f ca="1">IFERROR(__xludf.DUMMYFUNCTION("""COMPUTED_VALUE"""),"スピリット交換所")</f>
        <v>スピリット交換所</v>
      </c>
      <c r="G164" s="3" t="str">
        <f ca="1">IFERROR(__xludf.DUMMYFUNCTION("""COMPUTED_VALUE"""),"ロングシュート")</f>
        <v>ロングシュート</v>
      </c>
    </row>
    <row r="165" spans="1:7" x14ac:dyDescent="0.25">
      <c r="A165" s="3" t="str">
        <f ca="1">IFERROR(__xludf.DUMMYFUNCTION("""COMPUTED_VALUE"""),"シュート技")</f>
        <v>シュート技</v>
      </c>
      <c r="B165" s="3" t="str">
        <f ca="1">IFERROR(__xludf.DUMMYFUNCTION("""COMPUTED_VALUE"""),"グランドファイア")</f>
        <v>グランドファイア</v>
      </c>
      <c r="C165" s="3" t="str">
        <f ca="1">IFERROR(__xludf.DUMMYFUNCTION("""COMPUTED_VALUE"""),"火")</f>
        <v>火</v>
      </c>
      <c r="D165" s="3">
        <f ca="1">IFERROR(__xludf.DUMMYFUNCTION("""COMPUTED_VALUE"""),100)</f>
        <v>100</v>
      </c>
      <c r="E165" s="3">
        <f ca="1">IFERROR(__xludf.DUMMYFUNCTION("""COMPUTED_VALUE"""),100)</f>
        <v>100</v>
      </c>
      <c r="F165" s="3" t="str">
        <f ca="1">IFERROR(__xludf.DUMMYFUNCTION("""COMPUTED_VALUE"""),"ボックス")</f>
        <v>ボックス</v>
      </c>
      <c r="G165" s="3" t="str">
        <f ca="1">IFERROR(__xludf.DUMMYFUNCTION("""COMPUTED_VALUE"""),"ロングシュート")</f>
        <v>ロングシュート</v>
      </c>
    </row>
    <row r="166" spans="1:7" x14ac:dyDescent="0.25">
      <c r="A166" s="3" t="str">
        <f ca="1">IFERROR(__xludf.DUMMYFUNCTION("""COMPUTED_VALUE"""),"シュート技")</f>
        <v>シュート技</v>
      </c>
      <c r="B166" s="3" t="str">
        <f ca="1">IFERROR(__xludf.DUMMYFUNCTION("""COMPUTED_VALUE"""),"イナズマブレイク")</f>
        <v>イナズマブレイク</v>
      </c>
      <c r="C166" s="3" t="str">
        <f ca="1">IFERROR(__xludf.DUMMYFUNCTION("""COMPUTED_VALUE"""),"風")</f>
        <v>風</v>
      </c>
      <c r="D166" s="3">
        <f ca="1">IFERROR(__xludf.DUMMYFUNCTION("""COMPUTED_VALUE"""),100)</f>
        <v>100</v>
      </c>
      <c r="E166" s="3">
        <f ca="1">IFERROR(__xludf.DUMMYFUNCTION("""COMPUTED_VALUE"""),100)</f>
        <v>100</v>
      </c>
      <c r="F166" s="3" t="str">
        <f ca="1">IFERROR(__xludf.DUMMYFUNCTION("""COMPUTED_VALUE"""),"クロニクル百貨店")</f>
        <v>クロニクル百貨店</v>
      </c>
      <c r="G166" s="3"/>
    </row>
    <row r="167" spans="1:7" x14ac:dyDescent="0.25">
      <c r="A167" s="3" t="str">
        <f ca="1">IFERROR(__xludf.DUMMYFUNCTION("""COMPUTED_VALUE"""),"シュート技")</f>
        <v>シュート技</v>
      </c>
      <c r="B167" s="3" t="str">
        <f ca="1">IFERROR(__xludf.DUMMYFUNCTION("""COMPUTED_VALUE"""),"ジ・アース")</f>
        <v>ジ・アース</v>
      </c>
      <c r="C167" s="3" t="str">
        <f ca="1">IFERROR(__xludf.DUMMYFUNCTION("""COMPUTED_VALUE"""),"山")</f>
        <v>山</v>
      </c>
      <c r="D167" s="3">
        <f ca="1">IFERROR(__xludf.DUMMYFUNCTION("""COMPUTED_VALUE"""),100)</f>
        <v>100</v>
      </c>
      <c r="E167" s="3">
        <f ca="1">IFERROR(__xludf.DUMMYFUNCTION("""COMPUTED_VALUE"""),100)</f>
        <v>100</v>
      </c>
      <c r="F167" s="3" t="str">
        <f ca="1">IFERROR(__xludf.DUMMYFUNCTION("""COMPUTED_VALUE"""),"スピリット交換所")</f>
        <v>スピリット交換所</v>
      </c>
      <c r="G167" s="3"/>
    </row>
    <row r="168" spans="1:7" x14ac:dyDescent="0.25">
      <c r="A168" s="3" t="str">
        <f ca="1">IFERROR(__xludf.DUMMYFUNCTION("""COMPUTED_VALUE"""),"シュート技")</f>
        <v>シュート技</v>
      </c>
      <c r="B168" s="3" t="str">
        <f ca="1">IFERROR(__xludf.DUMMYFUNCTION("""COMPUTED_VALUE"""),"スーパーノヴァ")</f>
        <v>スーパーノヴァ</v>
      </c>
      <c r="C168" s="3" t="str">
        <f ca="1">IFERROR(__xludf.DUMMYFUNCTION("""COMPUTED_VALUE"""),"林")</f>
        <v>林</v>
      </c>
      <c r="D168" s="3">
        <f ca="1">IFERROR(__xludf.DUMMYFUNCTION("""COMPUTED_VALUE"""),100)</f>
        <v>100</v>
      </c>
      <c r="E168" s="3">
        <f ca="1">IFERROR(__xludf.DUMMYFUNCTION("""COMPUTED_VALUE"""),100)</f>
        <v>100</v>
      </c>
      <c r="F168" s="3" t="str">
        <f ca="1">IFERROR(__xludf.DUMMYFUNCTION("""COMPUTED_VALUE"""),"スピリット交換所")</f>
        <v>スピリット交換所</v>
      </c>
      <c r="G168" s="3"/>
    </row>
    <row r="169" spans="1:7" x14ac:dyDescent="0.25">
      <c r="A169" s="3" t="str">
        <f ca="1">IFERROR(__xludf.DUMMYFUNCTION("""COMPUTED_VALUE"""),"シュート技")</f>
        <v>シュート技</v>
      </c>
      <c r="B169" s="3" t="str">
        <f ca="1">IFERROR(__xludf.DUMMYFUNCTION("""COMPUTED_VALUE"""),"スペースペンギン")</f>
        <v>スペースペンギン</v>
      </c>
      <c r="C169" s="3" t="str">
        <f ca="1">IFERROR(__xludf.DUMMYFUNCTION("""COMPUTED_VALUE"""),"風")</f>
        <v>風</v>
      </c>
      <c r="D169" s="3">
        <f ca="1">IFERROR(__xludf.DUMMYFUNCTION("""COMPUTED_VALUE"""),100)</f>
        <v>100</v>
      </c>
      <c r="E169" s="3">
        <f ca="1">IFERROR(__xludf.DUMMYFUNCTION("""COMPUTED_VALUE"""),100)</f>
        <v>100</v>
      </c>
      <c r="F169" s="3" t="str">
        <f ca="1">IFERROR(__xludf.DUMMYFUNCTION("""COMPUTED_VALUE"""),"VSストア")</f>
        <v>VSストア</v>
      </c>
      <c r="G169" s="3"/>
    </row>
    <row r="170" spans="1:7" x14ac:dyDescent="0.25">
      <c r="A170" s="3" t="str">
        <f ca="1">IFERROR(__xludf.DUMMYFUNCTION("""COMPUTED_VALUE"""),"シュート技")</f>
        <v>シュート技</v>
      </c>
      <c r="B170" s="3" t="str">
        <f ca="1">IFERROR(__xludf.DUMMYFUNCTION("""COMPUTED_VALUE"""),"ダークフェニックス")</f>
        <v>ダークフェニックス</v>
      </c>
      <c r="C170" s="3" t="str">
        <f ca="1">IFERROR(__xludf.DUMMYFUNCTION("""COMPUTED_VALUE"""),"林")</f>
        <v>林</v>
      </c>
      <c r="D170" s="3">
        <f ca="1">IFERROR(__xludf.DUMMYFUNCTION("""COMPUTED_VALUE"""),100)</f>
        <v>100</v>
      </c>
      <c r="E170" s="3">
        <f ca="1">IFERROR(__xludf.DUMMYFUNCTION("""COMPUTED_VALUE"""),100)</f>
        <v>100</v>
      </c>
      <c r="F170" s="3" t="str">
        <f ca="1">IFERROR(__xludf.DUMMYFUNCTION("""COMPUTED_VALUE"""),"クロニクル百貨店")</f>
        <v>クロニクル百貨店</v>
      </c>
      <c r="G170" s="3"/>
    </row>
    <row r="171" spans="1:7" x14ac:dyDescent="0.25">
      <c r="A171" s="3" t="str">
        <f ca="1">IFERROR(__xludf.DUMMYFUNCTION("""COMPUTED_VALUE"""),"シュート技")</f>
        <v>シュート技</v>
      </c>
      <c r="B171" s="3" t="str">
        <f ca="1">IFERROR(__xludf.DUMMYFUNCTION("""COMPUTED_VALUE"""),"クロスファイア")</f>
        <v>クロスファイア</v>
      </c>
      <c r="C171" s="3" t="str">
        <f ca="1">IFERROR(__xludf.DUMMYFUNCTION("""COMPUTED_VALUE"""),"火")</f>
        <v>火</v>
      </c>
      <c r="D171" s="3">
        <f ca="1">IFERROR(__xludf.DUMMYFUNCTION("""COMPUTED_VALUE"""),100)</f>
        <v>100</v>
      </c>
      <c r="E171" s="3">
        <f ca="1">IFERROR(__xludf.DUMMYFUNCTION("""COMPUTED_VALUE"""),100)</f>
        <v>100</v>
      </c>
      <c r="F171" s="3" t="str">
        <f ca="1">IFERROR(__xludf.DUMMYFUNCTION("""COMPUTED_VALUE"""),"特訓ショップ")</f>
        <v>特訓ショップ</v>
      </c>
      <c r="G171" s="3"/>
    </row>
    <row r="172" spans="1:7" x14ac:dyDescent="0.25">
      <c r="A172" s="3" t="str">
        <f ca="1">IFERROR(__xludf.DUMMYFUNCTION("""COMPUTED_VALUE"""),"シュート技")</f>
        <v>シュート技</v>
      </c>
      <c r="B172" s="3" t="str">
        <f ca="1">IFERROR(__xludf.DUMMYFUNCTION("""COMPUTED_VALUE"""),"皇帝ペンギン3号")</f>
        <v>皇帝ペンギン3号</v>
      </c>
      <c r="C172" s="3" t="str">
        <f ca="1">IFERROR(__xludf.DUMMYFUNCTION("""COMPUTED_VALUE"""),"林")</f>
        <v>林</v>
      </c>
      <c r="D172" s="3">
        <f ca="1">IFERROR(__xludf.DUMMYFUNCTION("""COMPUTED_VALUE"""),100)</f>
        <v>100</v>
      </c>
      <c r="E172" s="3">
        <f ca="1">IFERROR(__xludf.DUMMYFUNCTION("""COMPUTED_VALUE"""),100)</f>
        <v>100</v>
      </c>
      <c r="F172" s="3" t="str">
        <f ca="1">IFERROR(__xludf.DUMMYFUNCTION("""COMPUTED_VALUE"""),"スピリット交換所")</f>
        <v>スピリット交換所</v>
      </c>
      <c r="G172" s="3"/>
    </row>
    <row r="173" spans="1:7" x14ac:dyDescent="0.25">
      <c r="A173" s="3" t="str">
        <f ca="1">IFERROR(__xludf.DUMMYFUNCTION("""COMPUTED_VALUE"""),"シュート技")</f>
        <v>シュート技</v>
      </c>
      <c r="B173" s="3" t="str">
        <f ca="1">IFERROR(__xludf.DUMMYFUNCTION("""COMPUTED_VALUE"""),"ビッグバン")</f>
        <v>ビッグバン</v>
      </c>
      <c r="C173" s="3" t="str">
        <f ca="1">IFERROR(__xludf.DUMMYFUNCTION("""COMPUTED_VALUE"""),"火")</f>
        <v>火</v>
      </c>
      <c r="D173" s="3">
        <f ca="1">IFERROR(__xludf.DUMMYFUNCTION("""COMPUTED_VALUE"""),100)</f>
        <v>100</v>
      </c>
      <c r="E173" s="3">
        <f ca="1">IFERROR(__xludf.DUMMYFUNCTION("""COMPUTED_VALUE"""),100)</f>
        <v>100</v>
      </c>
      <c r="F173" s="3" t="str">
        <f ca="1">IFERROR(__xludf.DUMMYFUNCTION("""COMPUTED_VALUE"""),"スピリット交換所")</f>
        <v>スピリット交換所</v>
      </c>
      <c r="G173" s="3"/>
    </row>
    <row r="174" spans="1:7" x14ac:dyDescent="0.25">
      <c r="A174" s="3" t="str">
        <f ca="1">IFERROR(__xludf.DUMMYFUNCTION("""COMPUTED_VALUE"""),"シュート技")</f>
        <v>シュート技</v>
      </c>
      <c r="B174" s="3" t="str">
        <f ca="1">IFERROR(__xludf.DUMMYFUNCTION("""COMPUTED_VALUE"""),"カオスブレイク")</f>
        <v>カオスブレイク</v>
      </c>
      <c r="C174" s="3" t="str">
        <f ca="1">IFERROR(__xludf.DUMMYFUNCTION("""COMPUTED_VALUE"""),"林")</f>
        <v>林</v>
      </c>
      <c r="D174" s="3">
        <f ca="1">IFERROR(__xludf.DUMMYFUNCTION("""COMPUTED_VALUE"""),100)</f>
        <v>100</v>
      </c>
      <c r="E174" s="3">
        <f ca="1">IFERROR(__xludf.DUMMYFUNCTION("""COMPUTED_VALUE"""),100)</f>
        <v>100</v>
      </c>
      <c r="F174" s="3" t="str">
        <f ca="1">IFERROR(__xludf.DUMMYFUNCTION("""COMPUTED_VALUE"""),"スピリット交換所")</f>
        <v>スピリット交換所</v>
      </c>
      <c r="G174" s="3"/>
    </row>
    <row r="175" spans="1:7" x14ac:dyDescent="0.25">
      <c r="A175" s="3" t="str">
        <f ca="1">IFERROR(__xludf.DUMMYFUNCTION("""COMPUTED_VALUE"""),"シュート技")</f>
        <v>シュート技</v>
      </c>
      <c r="B175" s="3" t="str">
        <f ca="1">IFERROR(__xludf.DUMMYFUNCTION("""COMPUTED_VALUE"""),"プライムレジェンド")</f>
        <v>プライムレジェンド</v>
      </c>
      <c r="C175" s="3" t="str">
        <f ca="1">IFERROR(__xludf.DUMMYFUNCTION("""COMPUTED_VALUE"""),"風")</f>
        <v>風</v>
      </c>
      <c r="D175" s="3">
        <f ca="1">IFERROR(__xludf.DUMMYFUNCTION("""COMPUTED_VALUE"""),100)</f>
        <v>100</v>
      </c>
      <c r="E175" s="3">
        <f ca="1">IFERROR(__xludf.DUMMYFUNCTION("""COMPUTED_VALUE"""),100)</f>
        <v>100</v>
      </c>
      <c r="F175" s="3" t="str">
        <f ca="1">IFERROR(__xludf.DUMMYFUNCTION("""COMPUTED_VALUE"""),"スピリット交換所")</f>
        <v>スピリット交換所</v>
      </c>
      <c r="G175" s="3"/>
    </row>
    <row r="176" spans="1:7" x14ac:dyDescent="0.25">
      <c r="A176" s="3" t="str">
        <f ca="1">IFERROR(__xludf.DUMMYFUNCTION("""COMPUTED_VALUE"""),"シュート技")</f>
        <v>シュート技</v>
      </c>
      <c r="B176" s="3" t="str">
        <f ca="1">IFERROR(__xludf.DUMMYFUNCTION("""COMPUTED_VALUE"""),"デスブレイク")</f>
        <v>デスブレイク</v>
      </c>
      <c r="C176" s="3" t="str">
        <f ca="1">IFERROR(__xludf.DUMMYFUNCTION("""COMPUTED_VALUE"""),"山")</f>
        <v>山</v>
      </c>
      <c r="D176" s="3">
        <f ca="1">IFERROR(__xludf.DUMMYFUNCTION("""COMPUTED_VALUE"""),100)</f>
        <v>100</v>
      </c>
      <c r="E176" s="3">
        <f ca="1">IFERROR(__xludf.DUMMYFUNCTION("""COMPUTED_VALUE"""),100)</f>
        <v>100</v>
      </c>
      <c r="F176" s="3" t="str">
        <f ca="1">IFERROR(__xludf.DUMMYFUNCTION("""COMPUTED_VALUE"""),"スピリット交換所")</f>
        <v>スピリット交換所</v>
      </c>
      <c r="G176" s="3"/>
    </row>
    <row r="177" spans="1:7" x14ac:dyDescent="0.25">
      <c r="A177" s="3" t="str">
        <f ca="1">IFERROR(__xludf.DUMMYFUNCTION("""COMPUTED_VALUE"""),"シュート技")</f>
        <v>シュート技</v>
      </c>
      <c r="B177" s="3" t="str">
        <f ca="1">IFERROR(__xludf.DUMMYFUNCTION("""COMPUTED_VALUE"""),"エボリューション")</f>
        <v>エボリューション</v>
      </c>
      <c r="C177" s="3" t="str">
        <f ca="1">IFERROR(__xludf.DUMMYFUNCTION("""COMPUTED_VALUE"""),"山")</f>
        <v>山</v>
      </c>
      <c r="D177" s="3">
        <f ca="1">IFERROR(__xludf.DUMMYFUNCTION("""COMPUTED_VALUE"""),100)</f>
        <v>100</v>
      </c>
      <c r="E177" s="3">
        <f ca="1">IFERROR(__xludf.DUMMYFUNCTION("""COMPUTED_VALUE"""),100)</f>
        <v>100</v>
      </c>
      <c r="F177" s="3" t="str">
        <f ca="1">IFERROR(__xludf.DUMMYFUNCTION("""COMPUTED_VALUE"""),"秘宝堂")</f>
        <v>秘宝堂</v>
      </c>
      <c r="G177" s="3"/>
    </row>
    <row r="178" spans="1:7" x14ac:dyDescent="0.25">
      <c r="A178" s="3" t="str">
        <f ca="1">IFERROR(__xludf.DUMMYFUNCTION("""COMPUTED_VALUE"""),"シュート技")</f>
        <v>シュート技</v>
      </c>
      <c r="B178" s="3" t="str">
        <f ca="1">IFERROR(__xludf.DUMMYFUNCTION("""COMPUTED_VALUE"""),"オメガアタック")</f>
        <v>オメガアタック</v>
      </c>
      <c r="C178" s="3" t="str">
        <f ca="1">IFERROR(__xludf.DUMMYFUNCTION("""COMPUTED_VALUE"""),"無")</f>
        <v>無</v>
      </c>
      <c r="D178" s="3">
        <f ca="1">IFERROR(__xludf.DUMMYFUNCTION("""COMPUTED_VALUE"""),100)</f>
        <v>100</v>
      </c>
      <c r="E178" s="3">
        <f ca="1">IFERROR(__xludf.DUMMYFUNCTION("""COMPUTED_VALUE"""),100)</f>
        <v>100</v>
      </c>
      <c r="F178" s="3" t="str">
        <f ca="1">IFERROR(__xludf.DUMMYFUNCTION("""COMPUTED_VALUE"""),"スピリット交換所")</f>
        <v>スピリット交換所</v>
      </c>
      <c r="G178" s="3"/>
    </row>
    <row r="179" spans="1:7" x14ac:dyDescent="0.25">
      <c r="A179" s="3" t="str">
        <f ca="1">IFERROR(__xludf.DUMMYFUNCTION("""COMPUTED_VALUE"""),"シュート技")</f>
        <v>シュート技</v>
      </c>
      <c r="B179" s="3" t="str">
        <f ca="1">IFERROR(__xludf.DUMMYFUNCTION("""COMPUTED_VALUE"""),"最強イレブン波動")</f>
        <v>最強イレブン波動</v>
      </c>
      <c r="C179" s="3" t="str">
        <f ca="1">IFERROR(__xludf.DUMMYFUNCTION("""COMPUTED_VALUE"""),"風")</f>
        <v>風</v>
      </c>
      <c r="D179" s="3">
        <f ca="1">IFERROR(__xludf.DUMMYFUNCTION("""COMPUTED_VALUE"""),100)</f>
        <v>100</v>
      </c>
      <c r="E179" s="3">
        <f ca="1">IFERROR(__xludf.DUMMYFUNCTION("""COMPUTED_VALUE"""),100)</f>
        <v>100</v>
      </c>
      <c r="F179" s="3" t="str">
        <f ca="1">IFERROR(__xludf.DUMMYFUNCTION("""COMPUTED_VALUE"""),"ボックス")</f>
        <v>ボックス</v>
      </c>
      <c r="G179" s="3"/>
    </row>
    <row r="180" spans="1:7" x14ac:dyDescent="0.25">
      <c r="A180" s="3" t="str">
        <f ca="1">IFERROR(__xludf.DUMMYFUNCTION("""COMPUTED_VALUE"""),"シュート技")</f>
        <v>シュート技</v>
      </c>
      <c r="B180" s="3" t="str">
        <f ca="1">IFERROR(__xludf.DUMMYFUNCTION("""COMPUTED_VALUE"""),"春雷")</f>
        <v>春雷</v>
      </c>
      <c r="C180" s="3" t="str">
        <f ca="1">IFERROR(__xludf.DUMMYFUNCTION("""COMPUTED_VALUE"""),"風")</f>
        <v>風</v>
      </c>
      <c r="D180" s="3">
        <f ca="1">IFERROR(__xludf.DUMMYFUNCTION("""COMPUTED_VALUE"""),100)</f>
        <v>100</v>
      </c>
      <c r="E180" s="3">
        <f ca="1">IFERROR(__xludf.DUMMYFUNCTION("""COMPUTED_VALUE"""),100)</f>
        <v>100</v>
      </c>
      <c r="F180" s="3" t="str">
        <f ca="1">IFERROR(__xludf.DUMMYFUNCTION("""COMPUTED_VALUE"""),"特訓ショップ")</f>
        <v>特訓ショップ</v>
      </c>
      <c r="G180" s="3"/>
    </row>
    <row r="181" spans="1:7" x14ac:dyDescent="0.25">
      <c r="A181" s="3" t="str">
        <f ca="1">IFERROR(__xludf.DUMMYFUNCTION("""COMPUTED_VALUE"""),"シュート技")</f>
        <v>シュート技</v>
      </c>
      <c r="B181" s="3" t="str">
        <f ca="1">IFERROR(__xludf.DUMMYFUNCTION("""COMPUTED_VALUE"""),"コロドラシュート")</f>
        <v>コロドラシュート</v>
      </c>
      <c r="C181" s="3" t="str">
        <f ca="1">IFERROR(__xludf.DUMMYFUNCTION("""COMPUTED_VALUE"""),"風")</f>
        <v>風</v>
      </c>
      <c r="D181" s="3"/>
      <c r="E181" s="3"/>
      <c r="F181" s="3"/>
      <c r="G181" s="3"/>
    </row>
    <row r="182" spans="1:7" x14ac:dyDescent="0.25">
      <c r="A182" s="3" t="str">
        <f ca="1">IFERROR(__xludf.DUMMYFUNCTION("""COMPUTED_VALUE"""),"シュート技")</f>
        <v>シュート技</v>
      </c>
      <c r="B182" s="3" t="str">
        <f ca="1">IFERROR(__xludf.DUMMYFUNCTION("""COMPUTED_VALUE"""),"ファイアブリザード")</f>
        <v>ファイアブリザード</v>
      </c>
      <c r="C182" s="3" t="str">
        <f ca="1">IFERROR(__xludf.DUMMYFUNCTION("""COMPUTED_VALUE"""),"火")</f>
        <v>火</v>
      </c>
      <c r="D182" s="3"/>
      <c r="E182" s="3"/>
      <c r="F182" s="3"/>
      <c r="G182" s="3"/>
    </row>
    <row r="183" spans="1:7" x14ac:dyDescent="0.25">
      <c r="A183" s="3" t="str">
        <f ca="1">IFERROR(__xludf.DUMMYFUNCTION("""COMPUTED_VALUE"""),"シュート技")</f>
        <v>シュート技</v>
      </c>
      <c r="B183" s="3" t="str">
        <f ca="1">IFERROR(__xludf.DUMMYFUNCTION("""COMPUTED_VALUE"""),"古代の牙")</f>
        <v>古代の牙</v>
      </c>
      <c r="C183" s="3" t="str">
        <f ca="1">IFERROR(__xludf.DUMMYFUNCTION("""COMPUTED_VALUE"""),"山")</f>
        <v>山</v>
      </c>
      <c r="D183" s="3"/>
      <c r="E183" s="3"/>
      <c r="F183" s="3"/>
      <c r="G183" s="3"/>
    </row>
    <row r="184" spans="1:7" x14ac:dyDescent="0.25">
      <c r="A184" s="3" t="str">
        <f ca="1">IFERROR(__xludf.DUMMYFUNCTION("""COMPUTED_VALUE"""),"シュート技")</f>
        <v>シュート技</v>
      </c>
      <c r="B184" s="3" t="str">
        <f ca="1">IFERROR(__xludf.DUMMYFUNCTION("""COMPUTED_VALUE"""),"刹那ブースト")</f>
        <v>刹那ブースト</v>
      </c>
      <c r="C184" s="3" t="str">
        <f ca="1">IFERROR(__xludf.DUMMYFUNCTION("""COMPUTED_VALUE"""),"林")</f>
        <v>林</v>
      </c>
      <c r="D184" s="3">
        <f ca="1">IFERROR(__xludf.DUMMYFUNCTION("""COMPUTED_VALUE"""),85)</f>
        <v>85</v>
      </c>
      <c r="E184" s="3">
        <f ca="1">IFERROR(__xludf.DUMMYFUNCTION("""COMPUTED_VALUE"""),80)</f>
        <v>80</v>
      </c>
      <c r="F184" s="3"/>
      <c r="G184" s="3"/>
    </row>
    <row r="185" spans="1:7" x14ac:dyDescent="0.25">
      <c r="A185" s="3" t="str">
        <f ca="1">IFERROR(__xludf.DUMMYFUNCTION("""COMPUTED_VALUE"""),"シュート技")</f>
        <v>シュート技</v>
      </c>
      <c r="B185" s="3" t="str">
        <f ca="1">IFERROR(__xludf.DUMMYFUNCTION("""COMPUTED_VALUE"""),"菊一文字")</f>
        <v>菊一文字</v>
      </c>
      <c r="C185" s="3" t="str">
        <f ca="1">IFERROR(__xludf.DUMMYFUNCTION("""COMPUTED_VALUE"""),"火")</f>
        <v>火</v>
      </c>
      <c r="D185" s="3"/>
      <c r="E185" s="3"/>
      <c r="F185" s="3"/>
      <c r="G185" s="3"/>
    </row>
    <row r="186" spans="1:7" x14ac:dyDescent="0.25">
      <c r="A186" s="3" t="str">
        <f ca="1">IFERROR(__xludf.DUMMYFUNCTION("""COMPUTED_VALUE"""),"シュート技")</f>
        <v>シュート技</v>
      </c>
      <c r="B186" s="3" t="str">
        <f ca="1">IFERROR(__xludf.DUMMYFUNCTION("""COMPUTED_VALUE"""),"王者の牙")</f>
        <v>王者の牙</v>
      </c>
      <c r="C186" s="3" t="str">
        <f ca="1">IFERROR(__xludf.DUMMYFUNCTION("""COMPUTED_VALUE"""),"山")</f>
        <v>山</v>
      </c>
      <c r="D186" s="3"/>
      <c r="E186" s="3"/>
      <c r="F186" s="3"/>
      <c r="G186" s="3"/>
    </row>
    <row r="187" spans="1:7" x14ac:dyDescent="0.25">
      <c r="A187" s="3" t="str">
        <f ca="1">IFERROR(__xludf.DUMMYFUNCTION("""COMPUTED_VALUE"""),"シュート技")</f>
        <v>シュート技</v>
      </c>
      <c r="B187" s="3" t="str">
        <f ca="1">IFERROR(__xludf.DUMMYFUNCTION("""COMPUTED_VALUE"""),"グレートマックスなオレ")</f>
        <v>グレートマックスなオレ</v>
      </c>
      <c r="C187" s="3" t="str">
        <f ca="1">IFERROR(__xludf.DUMMYFUNCTION("""COMPUTED_VALUE"""),"山")</f>
        <v>山</v>
      </c>
      <c r="D187" s="3"/>
      <c r="E187" s="3"/>
      <c r="F187" s="3"/>
      <c r="G187" s="3"/>
    </row>
    <row r="188" spans="1:7" x14ac:dyDescent="0.25">
      <c r="A188" s="3" t="str">
        <f ca="1">IFERROR(__xludf.DUMMYFUNCTION("""COMPUTED_VALUE"""),"シュート技")</f>
        <v>シュート技</v>
      </c>
      <c r="B188" s="3" t="str">
        <f ca="1">IFERROR(__xludf.DUMMYFUNCTION("""COMPUTED_VALUE"""),"クロスファイア")</f>
        <v>クロスファイア</v>
      </c>
      <c r="C188" s="3" t="str">
        <f ca="1">IFERROR(__xludf.DUMMYFUNCTION("""COMPUTED_VALUE"""),"風")</f>
        <v>風</v>
      </c>
      <c r="D188" s="3"/>
      <c r="E188" s="3"/>
      <c r="F188" s="3"/>
      <c r="G188" s="3"/>
    </row>
    <row r="189" spans="1:7" x14ac:dyDescent="0.25">
      <c r="A189" s="3" t="str">
        <f ca="1">IFERROR(__xludf.DUMMYFUNCTION("""COMPUTED_VALUE"""),"オフェンス技")</f>
        <v>オフェンス技</v>
      </c>
      <c r="B189" s="3" t="str">
        <f ca="1">IFERROR(__xludf.DUMMYFUNCTION("""COMPUTED_VALUE"""),"ジャッジスルー3")</f>
        <v>ジャッジスルー3</v>
      </c>
      <c r="C189" s="3" t="str">
        <f ca="1">IFERROR(__xludf.DUMMYFUNCTION("""COMPUTED_VALUE"""),"火")</f>
        <v>火</v>
      </c>
      <c r="D189" s="3">
        <f ca="1">IFERROR(__xludf.DUMMYFUNCTION("""COMPUTED_VALUE"""),100)</f>
        <v>100</v>
      </c>
      <c r="E189" s="3">
        <f ca="1">IFERROR(__xludf.DUMMYFUNCTION("""COMPUTED_VALUE"""),100)</f>
        <v>100</v>
      </c>
      <c r="F189" s="3" t="str">
        <f ca="1">IFERROR(__xludf.DUMMYFUNCTION("""COMPUTED_VALUE"""),"クロニクル百貨店")</f>
        <v>クロニクル百貨店</v>
      </c>
      <c r="G189" s="3"/>
    </row>
    <row r="190" spans="1:7" x14ac:dyDescent="0.25">
      <c r="A190" s="3" t="str">
        <f ca="1">IFERROR(__xludf.DUMMYFUNCTION("""COMPUTED_VALUE"""),"オフェンス技")</f>
        <v>オフェンス技</v>
      </c>
      <c r="B190" s="3" t="str">
        <f ca="1">IFERROR(__xludf.DUMMYFUNCTION("""COMPUTED_VALUE"""),"ヘブンズタイム")</f>
        <v>ヘブンズタイム</v>
      </c>
      <c r="C190" s="3" t="str">
        <f ca="1">IFERROR(__xludf.DUMMYFUNCTION("""COMPUTED_VALUE"""),"風")</f>
        <v>風</v>
      </c>
      <c r="D190" s="3">
        <f ca="1">IFERROR(__xludf.DUMMYFUNCTION("""COMPUTED_VALUE"""),85)</f>
        <v>85</v>
      </c>
      <c r="E190" s="3">
        <f ca="1">IFERROR(__xludf.DUMMYFUNCTION("""COMPUTED_VALUE"""),80)</f>
        <v>80</v>
      </c>
      <c r="F190" s="3" t="str">
        <f ca="1">IFERROR(__xludf.DUMMYFUNCTION("""COMPUTED_VALUE"""),"クロニクル百貨店")</f>
        <v>クロニクル百貨店</v>
      </c>
      <c r="G190" s="3"/>
    </row>
    <row r="191" spans="1:7" x14ac:dyDescent="0.25">
      <c r="A191" s="3" t="str">
        <f ca="1">IFERROR(__xludf.DUMMYFUNCTION("""COMPUTED_VALUE"""),"オフェンス技")</f>
        <v>オフェンス技</v>
      </c>
      <c r="B191" s="3" t="str">
        <f ca="1">IFERROR(__xludf.DUMMYFUNCTION("""COMPUTED_VALUE"""),"キラーフィールズ")</f>
        <v>キラーフィールズ</v>
      </c>
      <c r="C191" s="3" t="str">
        <f ca="1">IFERROR(__xludf.DUMMYFUNCTION("""COMPUTED_VALUE"""),"林")</f>
        <v>林</v>
      </c>
      <c r="D191" s="3">
        <f ca="1">IFERROR(__xludf.DUMMYFUNCTION("""COMPUTED_VALUE"""),85)</f>
        <v>85</v>
      </c>
      <c r="E191" s="3">
        <f ca="1">IFERROR(__xludf.DUMMYFUNCTION("""COMPUTED_VALUE"""),80)</f>
        <v>80</v>
      </c>
      <c r="F191" s="3" t="str">
        <f ca="1">IFERROR(__xludf.DUMMYFUNCTION("""COMPUTED_VALUE"""),"スピリット交換所")</f>
        <v>スピリット交換所</v>
      </c>
      <c r="G191" s="3"/>
    </row>
    <row r="192" spans="1:7" x14ac:dyDescent="0.25">
      <c r="A192" s="3" t="str">
        <f ca="1">IFERROR(__xludf.DUMMYFUNCTION("""COMPUTED_VALUE"""),"オフェンス技")</f>
        <v>オフェンス技</v>
      </c>
      <c r="B192" s="3" t="str">
        <f ca="1">IFERROR(__xludf.DUMMYFUNCTION("""COMPUTED_VALUE"""),"デコイ・リリース")</f>
        <v>デコイ・リリース</v>
      </c>
      <c r="C192" s="3" t="str">
        <f ca="1">IFERROR(__xludf.DUMMYFUNCTION("""COMPUTED_VALUE"""),"無")</f>
        <v>無</v>
      </c>
      <c r="D192" s="3">
        <f ca="1">IFERROR(__xludf.DUMMYFUNCTION("""COMPUTED_VALUE"""),85)</f>
        <v>85</v>
      </c>
      <c r="E192" s="3">
        <f ca="1">IFERROR(__xludf.DUMMYFUNCTION("""COMPUTED_VALUE"""),80)</f>
        <v>80</v>
      </c>
      <c r="F192" s="3" t="str">
        <f ca="1">IFERROR(__xludf.DUMMYFUNCTION("""COMPUTED_VALUE"""),"クロニクル百貨店")</f>
        <v>クロニクル百貨店</v>
      </c>
      <c r="G192" s="3"/>
    </row>
    <row r="193" spans="1:7" x14ac:dyDescent="0.25">
      <c r="A193" s="3" t="str">
        <f ca="1">IFERROR(__xludf.DUMMYFUNCTION("""COMPUTED_VALUE"""),"オフェンス技")</f>
        <v>オフェンス技</v>
      </c>
      <c r="B193" s="3" t="str">
        <f ca="1">IFERROR(__xludf.DUMMYFUNCTION("""COMPUTED_VALUE"""),"ジェネラル・フラッグ")</f>
        <v>ジェネラル・フラッグ</v>
      </c>
      <c r="C193" s="3" t="str">
        <f ca="1">IFERROR(__xludf.DUMMYFUNCTION("""COMPUTED_VALUE"""),"山")</f>
        <v>山</v>
      </c>
      <c r="D193" s="3">
        <f ca="1">IFERROR(__xludf.DUMMYFUNCTION("""COMPUTED_VALUE"""),85)</f>
        <v>85</v>
      </c>
      <c r="E193" s="3">
        <f ca="1">IFERROR(__xludf.DUMMYFUNCTION("""COMPUTED_VALUE"""),80)</f>
        <v>80</v>
      </c>
      <c r="F193" s="3" t="str">
        <f ca="1">IFERROR(__xludf.DUMMYFUNCTION("""COMPUTED_VALUE"""),"特訓ショップ")</f>
        <v>特訓ショップ</v>
      </c>
      <c r="G193" s="3"/>
    </row>
    <row r="194" spans="1:7" x14ac:dyDescent="0.25">
      <c r="A194" s="3" t="str">
        <f ca="1">IFERROR(__xludf.DUMMYFUNCTION("""COMPUTED_VALUE"""),"オフェンス技")</f>
        <v>オフェンス技</v>
      </c>
      <c r="B194" s="3" t="str">
        <f ca="1">IFERROR(__xludf.DUMMYFUNCTION("""COMPUTED_VALUE"""),"ダッシュストーム")</f>
        <v>ダッシュストーム</v>
      </c>
      <c r="C194" s="3" t="str">
        <f ca="1">IFERROR(__xludf.DUMMYFUNCTION("""COMPUTED_VALUE"""),"風")</f>
        <v>風</v>
      </c>
      <c r="D194" s="3">
        <f ca="1">IFERROR(__xludf.DUMMYFUNCTION("""COMPUTED_VALUE"""),70)</f>
        <v>70</v>
      </c>
      <c r="E194" s="3">
        <f ca="1">IFERROR(__xludf.DUMMYFUNCTION("""COMPUTED_VALUE"""),70)</f>
        <v>70</v>
      </c>
      <c r="F194" s="3" t="str">
        <f ca="1">IFERROR(__xludf.DUMMYFUNCTION("""COMPUTED_VALUE"""),"秘宝堂")</f>
        <v>秘宝堂</v>
      </c>
      <c r="G194" s="3"/>
    </row>
    <row r="195" spans="1:7" x14ac:dyDescent="0.25">
      <c r="A195" s="3" t="str">
        <f ca="1">IFERROR(__xludf.DUMMYFUNCTION("""COMPUTED_VALUE"""),"オフェンス技")</f>
        <v>オフェンス技</v>
      </c>
      <c r="B195" s="3" t="str">
        <f ca="1">IFERROR(__xludf.DUMMYFUNCTION("""COMPUTED_VALUE"""),"オーロラドリブル")</f>
        <v>オーロラドリブル</v>
      </c>
      <c r="C195" s="3" t="str">
        <f ca="1">IFERROR(__xludf.DUMMYFUNCTION("""COMPUTED_VALUE"""),"風")</f>
        <v>風</v>
      </c>
      <c r="D195" s="3">
        <f ca="1">IFERROR(__xludf.DUMMYFUNCTION("""COMPUTED_VALUE"""),70)</f>
        <v>70</v>
      </c>
      <c r="E195" s="3">
        <f ca="1">IFERROR(__xludf.DUMMYFUNCTION("""COMPUTED_VALUE"""),70)</f>
        <v>70</v>
      </c>
      <c r="F195" s="3" t="str">
        <f ca="1">IFERROR(__xludf.DUMMYFUNCTION("""COMPUTED_VALUE"""),"秘宝堂")</f>
        <v>秘宝堂</v>
      </c>
      <c r="G195" s="3"/>
    </row>
    <row r="196" spans="1:7" x14ac:dyDescent="0.25">
      <c r="A196" s="3" t="str">
        <f ca="1">IFERROR(__xludf.DUMMYFUNCTION("""COMPUTED_VALUE"""),"オフェンス技")</f>
        <v>オフェンス技</v>
      </c>
      <c r="B196" s="3" t="str">
        <f ca="1">IFERROR(__xludf.DUMMYFUNCTION("""COMPUTED_VALUE"""),"ライトニングアクセル")</f>
        <v>ライトニングアクセル</v>
      </c>
      <c r="C196" s="3" t="str">
        <f ca="1">IFERROR(__xludf.DUMMYFUNCTION("""COMPUTED_VALUE"""),"火")</f>
        <v>火</v>
      </c>
      <c r="D196" s="3">
        <f ca="1">IFERROR(__xludf.DUMMYFUNCTION("""COMPUTED_VALUE"""),70)</f>
        <v>70</v>
      </c>
      <c r="E196" s="3">
        <f ca="1">IFERROR(__xludf.DUMMYFUNCTION("""COMPUTED_VALUE"""),70)</f>
        <v>70</v>
      </c>
      <c r="F196" s="3" t="str">
        <f ca="1">IFERROR(__xludf.DUMMYFUNCTION("""COMPUTED_VALUE"""),"クロニクル百貨店")</f>
        <v>クロニクル百貨店</v>
      </c>
      <c r="G196" s="3"/>
    </row>
    <row r="197" spans="1:7" x14ac:dyDescent="0.25">
      <c r="A197" s="3" t="str">
        <f ca="1">IFERROR(__xludf.DUMMYFUNCTION("""COMPUTED_VALUE"""),"オフェンス技")</f>
        <v>オフェンス技</v>
      </c>
      <c r="B197" s="3" t="str">
        <f ca="1">IFERROR(__xludf.DUMMYFUNCTION("""COMPUTED_VALUE"""),"合気道")</f>
        <v>合気道</v>
      </c>
      <c r="C197" s="3" t="str">
        <f ca="1">IFERROR(__xludf.DUMMYFUNCTION("""COMPUTED_VALUE"""),"風")</f>
        <v>風</v>
      </c>
      <c r="D197" s="3">
        <f ca="1">IFERROR(__xludf.DUMMYFUNCTION("""COMPUTED_VALUE"""),70)</f>
        <v>70</v>
      </c>
      <c r="E197" s="3">
        <f ca="1">IFERROR(__xludf.DUMMYFUNCTION("""COMPUTED_VALUE"""),70)</f>
        <v>70</v>
      </c>
      <c r="F197" s="3" t="str">
        <f ca="1">IFERROR(__xludf.DUMMYFUNCTION("""COMPUTED_VALUE"""),"特訓ショップ")</f>
        <v>特訓ショップ</v>
      </c>
      <c r="G197" s="3"/>
    </row>
    <row r="198" spans="1:7" x14ac:dyDescent="0.25">
      <c r="A198" s="3" t="str">
        <f ca="1">IFERROR(__xludf.DUMMYFUNCTION("""COMPUTED_VALUE"""),"オフェンス技")</f>
        <v>オフェンス技</v>
      </c>
      <c r="B198" s="3" t="str">
        <f ca="1">IFERROR(__xludf.DUMMYFUNCTION("""COMPUTED_VALUE"""),"メテオシャワー")</f>
        <v>メテオシャワー</v>
      </c>
      <c r="C198" s="3" t="str">
        <f ca="1">IFERROR(__xludf.DUMMYFUNCTION("""COMPUTED_VALUE"""),"火")</f>
        <v>火</v>
      </c>
      <c r="D198" s="3">
        <f ca="1">IFERROR(__xludf.DUMMYFUNCTION("""COMPUTED_VALUE"""),70)</f>
        <v>70</v>
      </c>
      <c r="E198" s="3">
        <f ca="1">IFERROR(__xludf.DUMMYFUNCTION("""COMPUTED_VALUE"""),70)</f>
        <v>70</v>
      </c>
      <c r="F198" s="3" t="str">
        <f ca="1">IFERROR(__xludf.DUMMYFUNCTION("""COMPUTED_VALUE"""),"特訓ショップ")</f>
        <v>特訓ショップ</v>
      </c>
      <c r="G198" s="3"/>
    </row>
    <row r="199" spans="1:7" x14ac:dyDescent="0.25">
      <c r="A199" s="3" t="str">
        <f ca="1">IFERROR(__xludf.DUMMYFUNCTION("""COMPUTED_VALUE"""),"オフェンス技")</f>
        <v>オフェンス技</v>
      </c>
      <c r="B199" s="3" t="str">
        <f ca="1">IFERROR(__xludf.DUMMYFUNCTION("""COMPUTED_VALUE"""),"サザンクロスカット")</f>
        <v>サザンクロスカット</v>
      </c>
      <c r="C199" s="3" t="str">
        <f ca="1">IFERROR(__xludf.DUMMYFUNCTION("""COMPUTED_VALUE"""),"林")</f>
        <v>林</v>
      </c>
      <c r="D199" s="3">
        <f ca="1">IFERROR(__xludf.DUMMYFUNCTION("""COMPUTED_VALUE"""),70)</f>
        <v>70</v>
      </c>
      <c r="E199" s="3">
        <f ca="1">IFERROR(__xludf.DUMMYFUNCTION("""COMPUTED_VALUE"""),70)</f>
        <v>70</v>
      </c>
      <c r="F199" s="3" t="str">
        <f ca="1">IFERROR(__xludf.DUMMYFUNCTION("""COMPUTED_VALUE"""),"クロニクル百貨店")</f>
        <v>クロニクル百貨店</v>
      </c>
      <c r="G199" s="3"/>
    </row>
    <row r="200" spans="1:7" x14ac:dyDescent="0.25">
      <c r="A200" s="3" t="str">
        <f ca="1">IFERROR(__xludf.DUMMYFUNCTION("""COMPUTED_VALUE"""),"オフェンス技")</f>
        <v>オフェンス技</v>
      </c>
      <c r="B200" s="3" t="str">
        <f ca="1">IFERROR(__xludf.DUMMYFUNCTION("""COMPUTED_VALUE"""),"ジ・イカロス")</f>
        <v>ジ・イカロス</v>
      </c>
      <c r="C200" s="3" t="str">
        <f ca="1">IFERROR(__xludf.DUMMYFUNCTION("""COMPUTED_VALUE"""),"火")</f>
        <v>火</v>
      </c>
      <c r="D200" s="3">
        <f ca="1">IFERROR(__xludf.DUMMYFUNCTION("""COMPUTED_VALUE"""),70)</f>
        <v>70</v>
      </c>
      <c r="E200" s="3">
        <f ca="1">IFERROR(__xludf.DUMMYFUNCTION("""COMPUTED_VALUE"""),70)</f>
        <v>70</v>
      </c>
      <c r="F200" s="3" t="str">
        <f ca="1">IFERROR(__xludf.DUMMYFUNCTION("""COMPUTED_VALUE"""),"特訓ショップ")</f>
        <v>特訓ショップ</v>
      </c>
      <c r="G200" s="3"/>
    </row>
    <row r="201" spans="1:7" x14ac:dyDescent="0.25">
      <c r="A201" s="3" t="str">
        <f ca="1">IFERROR(__xludf.DUMMYFUNCTION("""COMPUTED_VALUE"""),"オフェンス技")</f>
        <v>オフェンス技</v>
      </c>
      <c r="B201" s="3" t="str">
        <f ca="1">IFERROR(__xludf.DUMMYFUNCTION("""COMPUTED_VALUE"""),"風神の舞")</f>
        <v>風神の舞</v>
      </c>
      <c r="C201" s="3" t="str">
        <f ca="1">IFERROR(__xludf.DUMMYFUNCTION("""COMPUTED_VALUE"""),"風")</f>
        <v>風</v>
      </c>
      <c r="D201" s="3">
        <f ca="1">IFERROR(__xludf.DUMMYFUNCTION("""COMPUTED_VALUE"""),70)</f>
        <v>70</v>
      </c>
      <c r="E201" s="3">
        <f ca="1">IFERROR(__xludf.DUMMYFUNCTION("""COMPUTED_VALUE"""),70)</f>
        <v>70</v>
      </c>
      <c r="F201" s="3" t="str">
        <f ca="1">IFERROR(__xludf.DUMMYFUNCTION("""COMPUTED_VALUE"""),"VSストア")</f>
        <v>VSストア</v>
      </c>
      <c r="G201" s="3"/>
    </row>
    <row r="202" spans="1:7" x14ac:dyDescent="0.25">
      <c r="A202" s="3" t="str">
        <f ca="1">IFERROR(__xludf.DUMMYFUNCTION("""COMPUTED_VALUE"""),"オフェンス技")</f>
        <v>オフェンス技</v>
      </c>
      <c r="B202" s="3" t="str">
        <f ca="1">IFERROR(__xludf.DUMMYFUNCTION("""COMPUTED_VALUE"""),"エアライド")</f>
        <v>エアライド</v>
      </c>
      <c r="C202" s="3" t="str">
        <f ca="1">IFERROR(__xludf.DUMMYFUNCTION("""COMPUTED_VALUE"""),"風")</f>
        <v>風</v>
      </c>
      <c r="D202" s="3">
        <f ca="1">IFERROR(__xludf.DUMMYFUNCTION("""COMPUTED_VALUE"""),70)</f>
        <v>70</v>
      </c>
      <c r="E202" s="3">
        <f ca="1">IFERROR(__xludf.DUMMYFUNCTION("""COMPUTED_VALUE"""),70)</f>
        <v>70</v>
      </c>
      <c r="F202" s="3" t="str">
        <f ca="1">IFERROR(__xludf.DUMMYFUNCTION("""COMPUTED_VALUE"""),"秘宝堂")</f>
        <v>秘宝堂</v>
      </c>
      <c r="G202" s="3"/>
    </row>
    <row r="203" spans="1:7" x14ac:dyDescent="0.25">
      <c r="A203" s="3" t="str">
        <f ca="1">IFERROR(__xludf.DUMMYFUNCTION("""COMPUTED_VALUE"""),"オフェンス技")</f>
        <v>オフェンス技</v>
      </c>
      <c r="B203" s="3" t="str">
        <f ca="1">IFERROR(__xludf.DUMMYFUNCTION("""COMPUTED_VALUE"""),"ウルトラムーン")</f>
        <v>ウルトラムーン</v>
      </c>
      <c r="C203" s="3" t="str">
        <f ca="1">IFERROR(__xludf.DUMMYFUNCTION("""COMPUTED_VALUE"""),"林")</f>
        <v>林</v>
      </c>
      <c r="D203" s="3">
        <f ca="1">IFERROR(__xludf.DUMMYFUNCTION("""COMPUTED_VALUE"""),70)</f>
        <v>70</v>
      </c>
      <c r="E203" s="3">
        <f ca="1">IFERROR(__xludf.DUMMYFUNCTION("""COMPUTED_VALUE"""),70)</f>
        <v>70</v>
      </c>
      <c r="F203" s="3" t="str">
        <f ca="1">IFERROR(__xludf.DUMMYFUNCTION("""COMPUTED_VALUE"""),"特訓ショップ")</f>
        <v>特訓ショップ</v>
      </c>
      <c r="G203" s="3"/>
    </row>
    <row r="204" spans="1:7" x14ac:dyDescent="0.25">
      <c r="A204" s="3" t="str">
        <f ca="1">IFERROR(__xludf.DUMMYFUNCTION("""COMPUTED_VALUE"""),"オフェンス技")</f>
        <v>オフェンス技</v>
      </c>
      <c r="B204" s="3" t="str">
        <f ca="1">IFERROR(__xludf.DUMMYFUNCTION("""COMPUTED_VALUE"""),"エンゼルボール")</f>
        <v>エンゼルボール</v>
      </c>
      <c r="C204" s="3" t="str">
        <f ca="1">IFERROR(__xludf.DUMMYFUNCTION("""COMPUTED_VALUE"""),"風")</f>
        <v>風</v>
      </c>
      <c r="D204" s="3">
        <f ca="1">IFERROR(__xludf.DUMMYFUNCTION("""COMPUTED_VALUE"""),70)</f>
        <v>70</v>
      </c>
      <c r="E204" s="3">
        <f ca="1">IFERROR(__xludf.DUMMYFUNCTION("""COMPUTED_VALUE"""),70)</f>
        <v>70</v>
      </c>
      <c r="F204" s="3" t="str">
        <f ca="1">IFERROR(__xludf.DUMMYFUNCTION("""COMPUTED_VALUE"""),"クロニクル百貨店")</f>
        <v>クロニクル百貨店</v>
      </c>
      <c r="G204" s="3"/>
    </row>
    <row r="205" spans="1:7" x14ac:dyDescent="0.25">
      <c r="A205" s="3" t="str">
        <f ca="1">IFERROR(__xludf.DUMMYFUNCTION("""COMPUTED_VALUE"""),"オフェンス技")</f>
        <v>オフェンス技</v>
      </c>
      <c r="B205" s="3" t="str">
        <f ca="1">IFERROR(__xludf.DUMMYFUNCTION("""COMPUTED_VALUE"""),"デビルボール")</f>
        <v>デビルボール</v>
      </c>
      <c r="C205" s="3" t="str">
        <f ca="1">IFERROR(__xludf.DUMMYFUNCTION("""COMPUTED_VALUE"""),"林")</f>
        <v>林</v>
      </c>
      <c r="D205" s="3">
        <f ca="1">IFERROR(__xludf.DUMMYFUNCTION("""COMPUTED_VALUE"""),70)</f>
        <v>70</v>
      </c>
      <c r="E205" s="3">
        <f ca="1">IFERROR(__xludf.DUMMYFUNCTION("""COMPUTED_VALUE"""),70)</f>
        <v>70</v>
      </c>
      <c r="F205" s="3" t="str">
        <f ca="1">IFERROR(__xludf.DUMMYFUNCTION("""COMPUTED_VALUE"""),"クロニクル百貨店")</f>
        <v>クロニクル百貨店</v>
      </c>
      <c r="G205" s="3"/>
    </row>
    <row r="206" spans="1:7" x14ac:dyDescent="0.25">
      <c r="A206" s="3" t="str">
        <f ca="1">IFERROR(__xludf.DUMMYFUNCTION("""COMPUTED_VALUE"""),"オフェンス技")</f>
        <v>オフェンス技</v>
      </c>
      <c r="B206" s="3" t="str">
        <f ca="1">IFERROR(__xludf.DUMMYFUNCTION("""COMPUTED_VALUE"""),"ブリタニアクロス")</f>
        <v>ブリタニアクロス</v>
      </c>
      <c r="C206" s="3" t="str">
        <f ca="1">IFERROR(__xludf.DUMMYFUNCTION("""COMPUTED_VALUE"""),"火")</f>
        <v>火</v>
      </c>
      <c r="D206" s="3">
        <f ca="1">IFERROR(__xludf.DUMMYFUNCTION("""COMPUTED_VALUE"""),70)</f>
        <v>70</v>
      </c>
      <c r="E206" s="3">
        <f ca="1">IFERROR(__xludf.DUMMYFUNCTION("""COMPUTED_VALUE"""),70)</f>
        <v>70</v>
      </c>
      <c r="F206" s="3" t="str">
        <f ca="1">IFERROR(__xludf.DUMMYFUNCTION("""COMPUTED_VALUE"""),"秘宝堂")</f>
        <v>秘宝堂</v>
      </c>
      <c r="G206" s="3"/>
    </row>
    <row r="207" spans="1:7" x14ac:dyDescent="0.25">
      <c r="A207" s="3" t="str">
        <f ca="1">IFERROR(__xludf.DUMMYFUNCTION("""COMPUTED_VALUE"""),"オフェンス技")</f>
        <v>オフェンス技</v>
      </c>
      <c r="B207" s="3" t="str">
        <f ca="1">IFERROR(__xludf.DUMMYFUNCTION("""COMPUTED_VALUE"""),"ラウンドスパーク")</f>
        <v>ラウンドスパーク</v>
      </c>
      <c r="C207" s="3" t="str">
        <f ca="1">IFERROR(__xludf.DUMMYFUNCTION("""COMPUTED_VALUE"""),"火")</f>
        <v>火</v>
      </c>
      <c r="D207" s="3">
        <f ca="1">IFERROR(__xludf.DUMMYFUNCTION("""COMPUTED_VALUE"""),70)</f>
        <v>70</v>
      </c>
      <c r="E207" s="3">
        <f ca="1">IFERROR(__xludf.DUMMYFUNCTION("""COMPUTED_VALUE"""),70)</f>
        <v>70</v>
      </c>
      <c r="F207" s="3" t="str">
        <f ca="1">IFERROR(__xludf.DUMMYFUNCTION("""COMPUTED_VALUE"""),"クロニクル百貨店")</f>
        <v>クロニクル百貨店</v>
      </c>
      <c r="G207" s="3"/>
    </row>
    <row r="208" spans="1:7" x14ac:dyDescent="0.25">
      <c r="A208" s="3" t="str">
        <f ca="1">IFERROR(__xludf.DUMMYFUNCTION("""COMPUTED_VALUE"""),"オフェンス技")</f>
        <v>オフェンス技</v>
      </c>
      <c r="B208" s="3" t="str">
        <f ca="1">IFERROR(__xludf.DUMMYFUNCTION("""COMPUTED_VALUE"""),"昇龍")</f>
        <v>昇龍</v>
      </c>
      <c r="C208" s="3" t="str">
        <f ca="1">IFERROR(__xludf.DUMMYFUNCTION("""COMPUTED_VALUE"""),"山")</f>
        <v>山</v>
      </c>
      <c r="D208" s="3">
        <f ca="1">IFERROR(__xludf.DUMMYFUNCTION("""COMPUTED_VALUE"""),70)</f>
        <v>70</v>
      </c>
      <c r="E208" s="3">
        <f ca="1">IFERROR(__xludf.DUMMYFUNCTION("""COMPUTED_VALUE"""),70)</f>
        <v>70</v>
      </c>
      <c r="F208" s="3" t="str">
        <f ca="1">IFERROR(__xludf.DUMMYFUNCTION("""COMPUTED_VALUE"""),"クロニクル百貨店")</f>
        <v>クロニクル百貨店</v>
      </c>
      <c r="G208" s="3"/>
    </row>
    <row r="209" spans="1:7" x14ac:dyDescent="0.25">
      <c r="A209" s="3" t="str">
        <f ca="1">IFERROR(__xludf.DUMMYFUNCTION("""COMPUTED_VALUE"""),"オフェンス技")</f>
        <v>オフェンス技</v>
      </c>
      <c r="B209" s="3" t="str">
        <f ca="1">IFERROR(__xludf.DUMMYFUNCTION("""COMPUTED_VALUE"""),"オリンポスハーモニー")</f>
        <v>オリンポスハーモニー</v>
      </c>
      <c r="C209" s="3" t="str">
        <f ca="1">IFERROR(__xludf.DUMMYFUNCTION("""COMPUTED_VALUE"""),"林")</f>
        <v>林</v>
      </c>
      <c r="D209" s="3">
        <f ca="1">IFERROR(__xludf.DUMMYFUNCTION("""COMPUTED_VALUE"""),70)</f>
        <v>70</v>
      </c>
      <c r="E209" s="3">
        <f ca="1">IFERROR(__xludf.DUMMYFUNCTION("""COMPUTED_VALUE"""),70)</f>
        <v>70</v>
      </c>
      <c r="F209" s="3" t="str">
        <f ca="1">IFERROR(__xludf.DUMMYFUNCTION("""COMPUTED_VALUE"""),"秘宝堂")</f>
        <v>秘宝堂</v>
      </c>
      <c r="G209" s="3"/>
    </row>
    <row r="210" spans="1:7" x14ac:dyDescent="0.25">
      <c r="A210" s="3" t="str">
        <f ca="1">IFERROR(__xludf.DUMMYFUNCTION("""COMPUTED_VALUE"""),"オフェンス技")</f>
        <v>オフェンス技</v>
      </c>
      <c r="B210" s="3" t="str">
        <f ca="1">IFERROR(__xludf.DUMMYFUNCTION("""COMPUTED_VALUE"""),"アグレッシブビート")</f>
        <v>アグレッシブビート</v>
      </c>
      <c r="C210" s="3" t="str">
        <f ca="1">IFERROR(__xludf.DUMMYFUNCTION("""COMPUTED_VALUE"""),"火")</f>
        <v>火</v>
      </c>
      <c r="D210" s="3">
        <f ca="1">IFERROR(__xludf.DUMMYFUNCTION("""COMPUTED_VALUE"""),70)</f>
        <v>70</v>
      </c>
      <c r="E210" s="3">
        <f ca="1">IFERROR(__xludf.DUMMYFUNCTION("""COMPUTED_VALUE"""),70)</f>
        <v>70</v>
      </c>
      <c r="F210" s="3" t="str">
        <f ca="1">IFERROR(__xludf.DUMMYFUNCTION("""COMPUTED_VALUE"""),"VSストア")</f>
        <v>VSストア</v>
      </c>
      <c r="G210" s="3"/>
    </row>
    <row r="211" spans="1:7" x14ac:dyDescent="0.25">
      <c r="A211" s="3" t="str">
        <f ca="1">IFERROR(__xludf.DUMMYFUNCTION("""COMPUTED_VALUE"""),"オフェンス技")</f>
        <v>オフェンス技</v>
      </c>
      <c r="B211" s="3" t="str">
        <f ca="1">IFERROR(__xludf.DUMMYFUNCTION("""COMPUTED_VALUE"""),"風穴ドライブ")</f>
        <v>風穴ドライブ</v>
      </c>
      <c r="C211" s="3" t="str">
        <f ca="1">IFERROR(__xludf.DUMMYFUNCTION("""COMPUTED_VALUE"""),"風")</f>
        <v>風</v>
      </c>
      <c r="D211" s="3">
        <f ca="1">IFERROR(__xludf.DUMMYFUNCTION("""COMPUTED_VALUE"""),70)</f>
        <v>70</v>
      </c>
      <c r="E211" s="3">
        <f ca="1">IFERROR(__xludf.DUMMYFUNCTION("""COMPUTED_VALUE"""),70)</f>
        <v>70</v>
      </c>
      <c r="F211" s="3" t="str">
        <f ca="1">IFERROR(__xludf.DUMMYFUNCTION("""COMPUTED_VALUE"""),"特訓ショップ")</f>
        <v>特訓ショップ</v>
      </c>
      <c r="G211" s="3"/>
    </row>
    <row r="212" spans="1:7" x14ac:dyDescent="0.25">
      <c r="A212" s="3" t="str">
        <f ca="1">IFERROR(__xludf.DUMMYFUNCTION("""COMPUTED_VALUE"""),"オフェンス技")</f>
        <v>オフェンス技</v>
      </c>
      <c r="B212" s="3" t="str">
        <f ca="1">IFERROR(__xludf.DUMMYFUNCTION("""COMPUTED_VALUE"""),"そよヤギステップ")</f>
        <v>そよヤギステップ</v>
      </c>
      <c r="C212" s="3" t="str">
        <f ca="1">IFERROR(__xludf.DUMMYFUNCTION("""COMPUTED_VALUE"""),"風")</f>
        <v>風</v>
      </c>
      <c r="D212" s="3">
        <f ca="1">IFERROR(__xludf.DUMMYFUNCTION("""COMPUTED_VALUE"""),70)</f>
        <v>70</v>
      </c>
      <c r="E212" s="3">
        <f ca="1">IFERROR(__xludf.DUMMYFUNCTION("""COMPUTED_VALUE"""),70)</f>
        <v>70</v>
      </c>
      <c r="F212" s="3" t="str">
        <f ca="1">IFERROR(__xludf.DUMMYFUNCTION("""COMPUTED_VALUE"""),"VSストア")</f>
        <v>VSストア</v>
      </c>
      <c r="G212" s="3"/>
    </row>
    <row r="213" spans="1:7" x14ac:dyDescent="0.25">
      <c r="A213" s="3" t="str">
        <f ca="1">IFERROR(__xludf.DUMMYFUNCTION("""COMPUTED_VALUE"""),"オフェンス技")</f>
        <v>オフェンス技</v>
      </c>
      <c r="B213" s="3" t="str">
        <f ca="1">IFERROR(__xludf.DUMMYFUNCTION("""COMPUTED_VALUE"""),"ブラックメイル")</f>
        <v>ブラックメイル</v>
      </c>
      <c r="C213" s="3" t="str">
        <f ca="1">IFERROR(__xludf.DUMMYFUNCTION("""COMPUTED_VALUE"""),"火")</f>
        <v>火</v>
      </c>
      <c r="D213" s="3">
        <f ca="1">IFERROR(__xludf.DUMMYFUNCTION("""COMPUTED_VALUE"""),70)</f>
        <v>70</v>
      </c>
      <c r="E213" s="3">
        <f ca="1">IFERROR(__xludf.DUMMYFUNCTION("""COMPUTED_VALUE"""),70)</f>
        <v>70</v>
      </c>
      <c r="F213" s="3" t="str">
        <f ca="1">IFERROR(__xludf.DUMMYFUNCTION("""COMPUTED_VALUE"""),"特訓ショップ")</f>
        <v>特訓ショップ</v>
      </c>
      <c r="G213" s="3"/>
    </row>
    <row r="214" spans="1:7" x14ac:dyDescent="0.25">
      <c r="A214" s="3" t="str">
        <f ca="1">IFERROR(__xludf.DUMMYFUNCTION("""COMPUTED_VALUE"""),"オフェンス技")</f>
        <v>オフェンス技</v>
      </c>
      <c r="B214" s="3" t="str">
        <f ca="1">IFERROR(__xludf.DUMMYFUNCTION("""COMPUTED_VALUE"""),"疾風ダッシュ")</f>
        <v>疾風ダッシュ</v>
      </c>
      <c r="C214" s="3" t="str">
        <f ca="1">IFERROR(__xludf.DUMMYFUNCTION("""COMPUTED_VALUE"""),"風")</f>
        <v>風</v>
      </c>
      <c r="D214" s="3">
        <f ca="1">IFERROR(__xludf.DUMMYFUNCTION("""COMPUTED_VALUE"""),60)</f>
        <v>60</v>
      </c>
      <c r="E214" s="3">
        <f ca="1">IFERROR(__xludf.DUMMYFUNCTION("""COMPUTED_VALUE"""),60)</f>
        <v>60</v>
      </c>
      <c r="F214" s="3" t="str">
        <f ca="1">IFERROR(__xludf.DUMMYFUNCTION("""COMPUTED_VALUE"""),"クロニクル百貨店")</f>
        <v>クロニクル百貨店</v>
      </c>
      <c r="G214" s="3"/>
    </row>
    <row r="215" spans="1:7" x14ac:dyDescent="0.25">
      <c r="A215" s="3" t="str">
        <f ca="1">IFERROR(__xludf.DUMMYFUNCTION("""COMPUTED_VALUE"""),"オフェンス技")</f>
        <v>オフェンス技</v>
      </c>
      <c r="B215" s="3" t="str">
        <f ca="1">IFERROR(__xludf.DUMMYFUNCTION("""COMPUTED_VALUE"""),"イリュージョンボール")</f>
        <v>イリュージョンボール</v>
      </c>
      <c r="C215" s="3" t="str">
        <f ca="1">IFERROR(__xludf.DUMMYFUNCTION("""COMPUTED_VALUE"""),"林")</f>
        <v>林</v>
      </c>
      <c r="D215" s="3">
        <f ca="1">IFERROR(__xludf.DUMMYFUNCTION("""COMPUTED_VALUE"""),60)</f>
        <v>60</v>
      </c>
      <c r="E215" s="3">
        <f ca="1">IFERROR(__xludf.DUMMYFUNCTION("""COMPUTED_VALUE"""),60)</f>
        <v>60</v>
      </c>
      <c r="F215" s="3" t="str">
        <f ca="1">IFERROR(__xludf.DUMMYFUNCTION("""COMPUTED_VALUE"""),"クロニクル百貨店")</f>
        <v>クロニクル百貨店</v>
      </c>
      <c r="G215" s="3"/>
    </row>
    <row r="216" spans="1:7" x14ac:dyDescent="0.25">
      <c r="A216" s="3" t="str">
        <f ca="1">IFERROR(__xludf.DUMMYFUNCTION("""COMPUTED_VALUE"""),"オフェンス技")</f>
        <v>オフェンス技</v>
      </c>
      <c r="B216" s="3" t="str">
        <f ca="1">IFERROR(__xludf.DUMMYFUNCTION("""COMPUTED_VALUE"""),"ヒートタックル")</f>
        <v>ヒートタックル</v>
      </c>
      <c r="C216" s="3" t="str">
        <f ca="1">IFERROR(__xludf.DUMMYFUNCTION("""COMPUTED_VALUE"""),"火")</f>
        <v>火</v>
      </c>
      <c r="D216" s="3">
        <f ca="1">IFERROR(__xludf.DUMMYFUNCTION("""COMPUTED_VALUE"""),60)</f>
        <v>60</v>
      </c>
      <c r="E216" s="3">
        <f ca="1">IFERROR(__xludf.DUMMYFUNCTION("""COMPUTED_VALUE"""),60)</f>
        <v>60</v>
      </c>
      <c r="F216" s="3" t="str">
        <f ca="1">IFERROR(__xludf.DUMMYFUNCTION("""COMPUTED_VALUE"""),"クロニクル百貨店")</f>
        <v>クロニクル百貨店</v>
      </c>
      <c r="G216" s="3"/>
    </row>
    <row r="217" spans="1:7" x14ac:dyDescent="0.25">
      <c r="A217" s="3" t="str">
        <f ca="1">IFERROR(__xludf.DUMMYFUNCTION("""COMPUTED_VALUE"""),"オフェンス技")</f>
        <v>オフェンス技</v>
      </c>
      <c r="B217" s="3" t="str">
        <f ca="1">IFERROR(__xludf.DUMMYFUNCTION("""COMPUTED_VALUE"""),"残像")</f>
        <v>残像</v>
      </c>
      <c r="C217" s="3" t="str">
        <f ca="1">IFERROR(__xludf.DUMMYFUNCTION("""COMPUTED_VALUE"""),"林")</f>
        <v>林</v>
      </c>
      <c r="D217" s="3">
        <f ca="1">IFERROR(__xludf.DUMMYFUNCTION("""COMPUTED_VALUE"""),60)</f>
        <v>60</v>
      </c>
      <c r="E217" s="3">
        <f ca="1">IFERROR(__xludf.DUMMYFUNCTION("""COMPUTED_VALUE"""),60)</f>
        <v>60</v>
      </c>
      <c r="F217" s="3" t="str">
        <f ca="1">IFERROR(__xludf.DUMMYFUNCTION("""COMPUTED_VALUE"""),"特訓ショップ")</f>
        <v>特訓ショップ</v>
      </c>
      <c r="G217" s="3"/>
    </row>
    <row r="218" spans="1:7" x14ac:dyDescent="0.25">
      <c r="A218" s="3" t="str">
        <f ca="1">IFERROR(__xludf.DUMMYFUNCTION("""COMPUTED_VALUE"""),"オフェンス技")</f>
        <v>オフェンス技</v>
      </c>
      <c r="B218" s="3" t="str">
        <f ca="1">IFERROR(__xludf.DUMMYFUNCTION("""COMPUTED_VALUE"""),"まぼろしドリブル")</f>
        <v>まぼろしドリブル</v>
      </c>
      <c r="C218" s="3" t="str">
        <f ca="1">IFERROR(__xludf.DUMMYFUNCTION("""COMPUTED_VALUE"""),"林")</f>
        <v>林</v>
      </c>
      <c r="D218" s="3">
        <f ca="1">IFERROR(__xludf.DUMMYFUNCTION("""COMPUTED_VALUE"""),60)</f>
        <v>60</v>
      </c>
      <c r="E218" s="3">
        <f ca="1">IFERROR(__xludf.DUMMYFUNCTION("""COMPUTED_VALUE"""),60)</f>
        <v>60</v>
      </c>
      <c r="F218" s="3" t="str">
        <f ca="1">IFERROR(__xludf.DUMMYFUNCTION("""COMPUTED_VALUE"""),"特訓ショップ")</f>
        <v>特訓ショップ</v>
      </c>
      <c r="G218" s="3"/>
    </row>
    <row r="219" spans="1:7" x14ac:dyDescent="0.25">
      <c r="A219" s="3" t="str">
        <f ca="1">IFERROR(__xludf.DUMMYFUNCTION("""COMPUTED_VALUE"""),"オフェンス技")</f>
        <v>オフェンス技</v>
      </c>
      <c r="B219" s="3" t="str">
        <f ca="1">IFERROR(__xludf.DUMMYFUNCTION("""COMPUTED_VALUE"""),"ニニンサンキャク")</f>
        <v>ニニンサンキャク</v>
      </c>
      <c r="C219" s="3" t="str">
        <f ca="1">IFERROR(__xludf.DUMMYFUNCTION("""COMPUTED_VALUE"""),"山")</f>
        <v>山</v>
      </c>
      <c r="D219" s="3">
        <f ca="1">IFERROR(__xludf.DUMMYFUNCTION("""COMPUTED_VALUE"""),60)</f>
        <v>60</v>
      </c>
      <c r="E219" s="3">
        <f ca="1">IFERROR(__xludf.DUMMYFUNCTION("""COMPUTED_VALUE"""),60)</f>
        <v>60</v>
      </c>
      <c r="F219" s="3" t="str">
        <f ca="1">IFERROR(__xludf.DUMMYFUNCTION("""COMPUTED_VALUE"""),"秘宝堂")</f>
        <v>秘宝堂</v>
      </c>
      <c r="G219" s="3"/>
    </row>
    <row r="220" spans="1:7" x14ac:dyDescent="0.25">
      <c r="A220" s="3" t="str">
        <f ca="1">IFERROR(__xludf.DUMMYFUNCTION("""COMPUTED_VALUE"""),"オフェンス技")</f>
        <v>オフェンス技</v>
      </c>
      <c r="B220" s="3" t="str">
        <f ca="1">IFERROR(__xludf.DUMMYFUNCTION("""COMPUTED_VALUE"""),"ひとりワンツー")</f>
        <v>ひとりワンツー</v>
      </c>
      <c r="C220" s="3" t="str">
        <f ca="1">IFERROR(__xludf.DUMMYFUNCTION("""COMPUTED_VALUE"""),"火")</f>
        <v>火</v>
      </c>
      <c r="D220" s="3">
        <f ca="1">IFERROR(__xludf.DUMMYFUNCTION("""COMPUTED_VALUE"""),60)</f>
        <v>60</v>
      </c>
      <c r="E220" s="3">
        <f ca="1">IFERROR(__xludf.DUMMYFUNCTION("""COMPUTED_VALUE"""),60)</f>
        <v>60</v>
      </c>
      <c r="F220" s="3" t="str">
        <f ca="1">IFERROR(__xludf.DUMMYFUNCTION("""COMPUTED_VALUE"""),"特訓ショップ")</f>
        <v>特訓ショップ</v>
      </c>
      <c r="G220" s="3"/>
    </row>
    <row r="221" spans="1:7" x14ac:dyDescent="0.25">
      <c r="A221" s="3" t="str">
        <f ca="1">IFERROR(__xludf.DUMMYFUNCTION("""COMPUTED_VALUE"""),"オフェンス技")</f>
        <v>オフェンス技</v>
      </c>
      <c r="B221" s="3" t="str">
        <f ca="1">IFERROR(__xludf.DUMMYFUNCTION("""COMPUTED_VALUE"""),"プリマドンナ")</f>
        <v>プリマドンナ</v>
      </c>
      <c r="C221" s="3" t="str">
        <f ca="1">IFERROR(__xludf.DUMMYFUNCTION("""COMPUTED_VALUE"""),"山")</f>
        <v>山</v>
      </c>
      <c r="D221" s="3">
        <f ca="1">IFERROR(__xludf.DUMMYFUNCTION("""COMPUTED_VALUE"""),60)</f>
        <v>60</v>
      </c>
      <c r="E221" s="3">
        <f ca="1">IFERROR(__xludf.DUMMYFUNCTION("""COMPUTED_VALUE"""),60)</f>
        <v>60</v>
      </c>
      <c r="F221" s="3" t="str">
        <f ca="1">IFERROR(__xludf.DUMMYFUNCTION("""COMPUTED_VALUE"""),"VSストア")</f>
        <v>VSストア</v>
      </c>
      <c r="G221" s="3"/>
    </row>
    <row r="222" spans="1:7" x14ac:dyDescent="0.25">
      <c r="A222" s="3" t="str">
        <f ca="1">IFERROR(__xludf.DUMMYFUNCTION("""COMPUTED_VALUE"""),"オフェンス技")</f>
        <v>オフェンス技</v>
      </c>
      <c r="B222" s="3" t="str">
        <f ca="1">IFERROR(__xludf.DUMMYFUNCTION("""COMPUTED_VALUE"""),"ウォーターベール")</f>
        <v>ウォーターベール</v>
      </c>
      <c r="C222" s="3" t="str">
        <f ca="1">IFERROR(__xludf.DUMMYFUNCTION("""COMPUTED_VALUE"""),"風")</f>
        <v>風</v>
      </c>
      <c r="D222" s="3">
        <f ca="1">IFERROR(__xludf.DUMMYFUNCTION("""COMPUTED_VALUE"""),60)</f>
        <v>60</v>
      </c>
      <c r="E222" s="3">
        <f ca="1">IFERROR(__xludf.DUMMYFUNCTION("""COMPUTED_VALUE"""),60)</f>
        <v>60</v>
      </c>
      <c r="F222" s="3" t="str">
        <f ca="1">IFERROR(__xludf.DUMMYFUNCTION("""COMPUTED_VALUE"""),"秘宝堂")</f>
        <v>秘宝堂</v>
      </c>
      <c r="G222" s="3"/>
    </row>
    <row r="223" spans="1:7" x14ac:dyDescent="0.25">
      <c r="A223" s="3" t="str">
        <f ca="1">IFERROR(__xludf.DUMMYFUNCTION("""COMPUTED_VALUE"""),"オフェンス技")</f>
        <v>オフェンス技</v>
      </c>
      <c r="B223" s="3" t="str">
        <f ca="1">IFERROR(__xludf.DUMMYFUNCTION("""COMPUTED_VALUE"""),"ならく落とし")</f>
        <v>ならく落とし</v>
      </c>
      <c r="C223" s="3" t="str">
        <f ca="1">IFERROR(__xludf.DUMMYFUNCTION("""COMPUTED_VALUE"""),"火")</f>
        <v>火</v>
      </c>
      <c r="D223" s="3">
        <f ca="1">IFERROR(__xludf.DUMMYFUNCTION("""COMPUTED_VALUE"""),60)</f>
        <v>60</v>
      </c>
      <c r="E223" s="3">
        <f ca="1">IFERROR(__xludf.DUMMYFUNCTION("""COMPUTED_VALUE"""),60)</f>
        <v>60</v>
      </c>
      <c r="F223" s="3" t="str">
        <f ca="1">IFERROR(__xludf.DUMMYFUNCTION("""COMPUTED_VALUE"""),"秘宝堂")</f>
        <v>秘宝堂</v>
      </c>
      <c r="G223" s="3"/>
    </row>
    <row r="224" spans="1:7" x14ac:dyDescent="0.25">
      <c r="A224" s="3" t="str">
        <f ca="1">IFERROR(__xludf.DUMMYFUNCTION("""COMPUTED_VALUE"""),"オフェンス技")</f>
        <v>オフェンス技</v>
      </c>
      <c r="B224" s="3" t="str">
        <f ca="1">IFERROR(__xludf.DUMMYFUNCTION("""COMPUTED_VALUE"""),"スーパーエラシコ")</f>
        <v>スーパーエラシコ</v>
      </c>
      <c r="C224" s="3" t="str">
        <f ca="1">IFERROR(__xludf.DUMMYFUNCTION("""COMPUTED_VALUE"""),"山")</f>
        <v>山</v>
      </c>
      <c r="D224" s="3">
        <f ca="1">IFERROR(__xludf.DUMMYFUNCTION("""COMPUTED_VALUE"""),60)</f>
        <v>60</v>
      </c>
      <c r="E224" s="3">
        <f ca="1">IFERROR(__xludf.DUMMYFUNCTION("""COMPUTED_VALUE"""),60)</f>
        <v>60</v>
      </c>
      <c r="F224" s="3" t="str">
        <f ca="1">IFERROR(__xludf.DUMMYFUNCTION("""COMPUTED_VALUE"""),"特訓ショップ")</f>
        <v>特訓ショップ</v>
      </c>
      <c r="G224" s="3"/>
    </row>
    <row r="225" spans="1:7" x14ac:dyDescent="0.25">
      <c r="A225" s="3" t="str">
        <f ca="1">IFERROR(__xludf.DUMMYFUNCTION("""COMPUTED_VALUE"""),"オフェンス技")</f>
        <v>オフェンス技</v>
      </c>
      <c r="B225" s="3" t="str">
        <f ca="1">IFERROR(__xludf.DUMMYFUNCTION("""COMPUTED_VALUE"""),"ゼロヨン")</f>
        <v>ゼロヨン</v>
      </c>
      <c r="C225" s="3" t="str">
        <f ca="1">IFERROR(__xludf.DUMMYFUNCTION("""COMPUTED_VALUE"""),"風")</f>
        <v>風</v>
      </c>
      <c r="D225" s="3">
        <f ca="1">IFERROR(__xludf.DUMMYFUNCTION("""COMPUTED_VALUE"""),60)</f>
        <v>60</v>
      </c>
      <c r="E225" s="3">
        <f ca="1">IFERROR(__xludf.DUMMYFUNCTION("""COMPUTED_VALUE"""),60)</f>
        <v>60</v>
      </c>
      <c r="F225" s="3" t="str">
        <f ca="1">IFERROR(__xludf.DUMMYFUNCTION("""COMPUTED_VALUE"""),"クロニクル百貨店")</f>
        <v>クロニクル百貨店</v>
      </c>
      <c r="G225" s="3"/>
    </row>
    <row r="226" spans="1:7" x14ac:dyDescent="0.25">
      <c r="A226" s="3" t="str">
        <f ca="1">IFERROR(__xludf.DUMMYFUNCTION("""COMPUTED_VALUE"""),"オフェンス技")</f>
        <v>オフェンス技</v>
      </c>
      <c r="B226" s="3" t="str">
        <f ca="1">IFERROR(__xludf.DUMMYFUNCTION("""COMPUTED_VALUE"""),"プレストターン")</f>
        <v>プレストターン</v>
      </c>
      <c r="C226" s="3" t="str">
        <f ca="1">IFERROR(__xludf.DUMMYFUNCTION("""COMPUTED_VALUE"""),"林")</f>
        <v>林</v>
      </c>
      <c r="D226" s="3">
        <f ca="1">IFERROR(__xludf.DUMMYFUNCTION("""COMPUTED_VALUE"""),60)</f>
        <v>60</v>
      </c>
      <c r="E226" s="3">
        <f ca="1">IFERROR(__xludf.DUMMYFUNCTION("""COMPUTED_VALUE"""),60)</f>
        <v>60</v>
      </c>
      <c r="F226" s="3" t="str">
        <f ca="1">IFERROR(__xludf.DUMMYFUNCTION("""COMPUTED_VALUE"""),"クロニクル百貨店")</f>
        <v>クロニクル百貨店</v>
      </c>
      <c r="G226" s="3"/>
    </row>
    <row r="227" spans="1:7" x14ac:dyDescent="0.25">
      <c r="A227" s="3" t="str">
        <f ca="1">IFERROR(__xludf.DUMMYFUNCTION("""COMPUTED_VALUE"""),"オフェンス技")</f>
        <v>オフェンス技</v>
      </c>
      <c r="B227" s="3" t="str">
        <f ca="1">IFERROR(__xludf.DUMMYFUNCTION("""COMPUTED_VALUE"""),"そよかぜステップ")</f>
        <v>そよかぜステップ</v>
      </c>
      <c r="C227" s="3" t="str">
        <f ca="1">IFERROR(__xludf.DUMMYFUNCTION("""COMPUTED_VALUE"""),"風")</f>
        <v>風</v>
      </c>
      <c r="D227" s="3">
        <f ca="1">IFERROR(__xludf.DUMMYFUNCTION("""COMPUTED_VALUE"""),60)</f>
        <v>60</v>
      </c>
      <c r="E227" s="3">
        <f ca="1">IFERROR(__xludf.DUMMYFUNCTION("""COMPUTED_VALUE"""),60)</f>
        <v>60</v>
      </c>
      <c r="F227" s="3" t="str">
        <f ca="1">IFERROR(__xludf.DUMMYFUNCTION("""COMPUTED_VALUE"""),"クロニクル百貨店")</f>
        <v>クロニクル百貨店</v>
      </c>
      <c r="G227" s="3"/>
    </row>
    <row r="228" spans="1:7" x14ac:dyDescent="0.25">
      <c r="A228" s="3" t="str">
        <f ca="1">IFERROR(__xludf.DUMMYFUNCTION("""COMPUTED_VALUE"""),"オフェンス技")</f>
        <v>オフェンス技</v>
      </c>
      <c r="B228" s="3" t="str">
        <f ca="1">IFERROR(__xludf.DUMMYFUNCTION("""COMPUTED_VALUE"""),"ホワイトブレード")</f>
        <v>ホワイトブレード</v>
      </c>
      <c r="C228" s="3" t="str">
        <f ca="1">IFERROR(__xludf.DUMMYFUNCTION("""COMPUTED_VALUE"""),"風")</f>
        <v>風</v>
      </c>
      <c r="D228" s="3">
        <f ca="1">IFERROR(__xludf.DUMMYFUNCTION("""COMPUTED_VALUE"""),60)</f>
        <v>60</v>
      </c>
      <c r="E228" s="3">
        <f ca="1">IFERROR(__xludf.DUMMYFUNCTION("""COMPUTED_VALUE"""),60)</f>
        <v>60</v>
      </c>
      <c r="F228" s="3" t="str">
        <f ca="1">IFERROR(__xludf.DUMMYFUNCTION("""COMPUTED_VALUE"""),"特訓ショップ")</f>
        <v>特訓ショップ</v>
      </c>
      <c r="G228" s="3"/>
    </row>
    <row r="229" spans="1:7" x14ac:dyDescent="0.25">
      <c r="A229" s="3" t="str">
        <f ca="1">IFERROR(__xludf.DUMMYFUNCTION("""COMPUTED_VALUE"""),"オフェンス技")</f>
        <v>オフェンス技</v>
      </c>
      <c r="B229" s="3" t="str">
        <f ca="1">IFERROR(__xludf.DUMMYFUNCTION("""COMPUTED_VALUE"""),"クレイモア")</f>
        <v>クレイモア</v>
      </c>
      <c r="C229" s="3" t="str">
        <f ca="1">IFERROR(__xludf.DUMMYFUNCTION("""COMPUTED_VALUE"""),"山")</f>
        <v>山</v>
      </c>
      <c r="D229" s="3">
        <f ca="1">IFERROR(__xludf.DUMMYFUNCTION("""COMPUTED_VALUE"""),60)</f>
        <v>60</v>
      </c>
      <c r="E229" s="3">
        <f ca="1">IFERROR(__xludf.DUMMYFUNCTION("""COMPUTED_VALUE"""),60)</f>
        <v>60</v>
      </c>
      <c r="F229" s="3" t="str">
        <f ca="1">IFERROR(__xludf.DUMMYFUNCTION("""COMPUTED_VALUE"""),"秘宝堂")</f>
        <v>秘宝堂</v>
      </c>
      <c r="G229" s="3"/>
    </row>
    <row r="230" spans="1:7" x14ac:dyDescent="0.25">
      <c r="A230" s="3" t="str">
        <f ca="1">IFERROR(__xludf.DUMMYFUNCTION("""COMPUTED_VALUE"""),"オフェンス技")</f>
        <v>オフェンス技</v>
      </c>
      <c r="B230" s="3" t="str">
        <f ca="1">IFERROR(__xludf.DUMMYFUNCTION("""COMPUTED_VALUE"""),"スカイウォーク")</f>
        <v>スカイウォーク</v>
      </c>
      <c r="C230" s="3" t="str">
        <f ca="1">IFERROR(__xludf.DUMMYFUNCTION("""COMPUTED_VALUE"""),"山")</f>
        <v>山</v>
      </c>
      <c r="D230" s="3">
        <f ca="1">IFERROR(__xludf.DUMMYFUNCTION("""COMPUTED_VALUE"""),60)</f>
        <v>60</v>
      </c>
      <c r="E230" s="3">
        <f ca="1">IFERROR(__xludf.DUMMYFUNCTION("""COMPUTED_VALUE"""),60)</f>
        <v>60</v>
      </c>
      <c r="F230" s="3" t="str">
        <f ca="1">IFERROR(__xludf.DUMMYFUNCTION("""COMPUTED_VALUE"""),"VSストア")</f>
        <v>VSストア</v>
      </c>
      <c r="G230" s="3"/>
    </row>
    <row r="231" spans="1:7" x14ac:dyDescent="0.25">
      <c r="A231" s="3" t="str">
        <f ca="1">IFERROR(__xludf.DUMMYFUNCTION("""COMPUTED_VALUE"""),"オフェンス技")</f>
        <v>オフェンス技</v>
      </c>
      <c r="B231" s="3" t="str">
        <f ca="1">IFERROR(__xludf.DUMMYFUNCTION("""COMPUTED_VALUE"""),"アクロバットキープ")</f>
        <v>アクロバットキープ</v>
      </c>
      <c r="C231" s="3" t="str">
        <f ca="1">IFERROR(__xludf.DUMMYFUNCTION("""COMPUTED_VALUE"""),"山")</f>
        <v>山</v>
      </c>
      <c r="D231" s="3">
        <f ca="1">IFERROR(__xludf.DUMMYFUNCTION("""COMPUTED_VALUE"""),60)</f>
        <v>60</v>
      </c>
      <c r="E231" s="3">
        <f ca="1">IFERROR(__xludf.DUMMYFUNCTION("""COMPUTED_VALUE"""),60)</f>
        <v>60</v>
      </c>
      <c r="F231" s="3" t="str">
        <f ca="1">IFERROR(__xludf.DUMMYFUNCTION("""COMPUTED_VALUE"""),"クロニクル百貨店")</f>
        <v>クロニクル百貨店</v>
      </c>
      <c r="G231" s="3"/>
    </row>
    <row r="232" spans="1:7" x14ac:dyDescent="0.25">
      <c r="A232" s="3" t="str">
        <f ca="1">IFERROR(__xludf.DUMMYFUNCTION("""COMPUTED_VALUE"""),"オフェンス技")</f>
        <v>オフェンス技</v>
      </c>
      <c r="B232" s="3" t="str">
        <f ca="1">IFERROR(__xludf.DUMMYFUNCTION("""COMPUTED_VALUE"""),"スピニングアッパー")</f>
        <v>スピニングアッパー</v>
      </c>
      <c r="C232" s="3" t="str">
        <f ca="1">IFERROR(__xludf.DUMMYFUNCTION("""COMPUTED_VALUE"""),"風")</f>
        <v>風</v>
      </c>
      <c r="D232" s="3">
        <f ca="1">IFERROR(__xludf.DUMMYFUNCTION("""COMPUTED_VALUE"""),60)</f>
        <v>60</v>
      </c>
      <c r="E232" s="3">
        <f ca="1">IFERROR(__xludf.DUMMYFUNCTION("""COMPUTED_VALUE"""),60)</f>
        <v>60</v>
      </c>
      <c r="F232" s="3" t="str">
        <f ca="1">IFERROR(__xludf.DUMMYFUNCTION("""COMPUTED_VALUE"""),"秘宝堂")</f>
        <v>秘宝堂</v>
      </c>
      <c r="G232" s="3"/>
    </row>
    <row r="233" spans="1:7" x14ac:dyDescent="0.25">
      <c r="A233" s="3" t="str">
        <f ca="1">IFERROR(__xludf.DUMMYFUNCTION("""COMPUTED_VALUE"""),"オフェンス技")</f>
        <v>オフェンス技</v>
      </c>
      <c r="B233" s="3" t="str">
        <f ca="1">IFERROR(__xludf.DUMMYFUNCTION("""COMPUTED_VALUE"""),"トランスムーブ")</f>
        <v>トランスムーブ</v>
      </c>
      <c r="C233" s="3" t="str">
        <f ca="1">IFERROR(__xludf.DUMMYFUNCTION("""COMPUTED_VALUE"""),"林")</f>
        <v>林</v>
      </c>
      <c r="D233" s="3">
        <f ca="1">IFERROR(__xludf.DUMMYFUNCTION("""COMPUTED_VALUE"""),60)</f>
        <v>60</v>
      </c>
      <c r="E233" s="3">
        <f ca="1">IFERROR(__xludf.DUMMYFUNCTION("""COMPUTED_VALUE"""),60)</f>
        <v>60</v>
      </c>
      <c r="F233" s="3" t="str">
        <f ca="1">IFERROR(__xludf.DUMMYFUNCTION("""COMPUTED_VALUE"""),"秘宝堂")</f>
        <v>秘宝堂</v>
      </c>
      <c r="G233" s="3"/>
    </row>
    <row r="234" spans="1:7" x14ac:dyDescent="0.25">
      <c r="A234" s="3" t="str">
        <f ca="1">IFERROR(__xludf.DUMMYFUNCTION("""COMPUTED_VALUE"""),"オフェンス技")</f>
        <v>オフェンス技</v>
      </c>
      <c r="B234" s="3" t="str">
        <f ca="1">IFERROR(__xludf.DUMMYFUNCTION("""COMPUTED_VALUE"""),"バンジースラスト")</f>
        <v>バンジースラスト</v>
      </c>
      <c r="C234" s="3" t="str">
        <f ca="1">IFERROR(__xludf.DUMMYFUNCTION("""COMPUTED_VALUE"""),"火")</f>
        <v>火</v>
      </c>
      <c r="D234" s="3">
        <f ca="1">IFERROR(__xludf.DUMMYFUNCTION("""COMPUTED_VALUE"""),60)</f>
        <v>60</v>
      </c>
      <c r="E234" s="3">
        <f ca="1">IFERROR(__xludf.DUMMYFUNCTION("""COMPUTED_VALUE"""),60)</f>
        <v>60</v>
      </c>
      <c r="F234" s="3" t="str">
        <f ca="1">IFERROR(__xludf.DUMMYFUNCTION("""COMPUTED_VALUE"""),"秘宝堂")</f>
        <v>秘宝堂</v>
      </c>
      <c r="G234" s="3"/>
    </row>
    <row r="235" spans="1:7" x14ac:dyDescent="0.25">
      <c r="A235" s="3" t="str">
        <f ca="1">IFERROR(__xludf.DUMMYFUNCTION("""COMPUTED_VALUE"""),"オフェンス技")</f>
        <v>オフェンス技</v>
      </c>
      <c r="B235" s="3" t="str">
        <f ca="1">IFERROR(__xludf.DUMMYFUNCTION("""COMPUTED_VALUE"""),"スパークエッジドリブル")</f>
        <v>スパークエッジドリブル</v>
      </c>
      <c r="C235" s="3" t="str">
        <f ca="1">IFERROR(__xludf.DUMMYFUNCTION("""COMPUTED_VALUE"""),"火")</f>
        <v>火</v>
      </c>
      <c r="D235" s="3">
        <f ca="1">IFERROR(__xludf.DUMMYFUNCTION("""COMPUTED_VALUE"""),60)</f>
        <v>60</v>
      </c>
      <c r="E235" s="3">
        <f ca="1">IFERROR(__xludf.DUMMYFUNCTION("""COMPUTED_VALUE"""),60)</f>
        <v>60</v>
      </c>
      <c r="F235" s="3" t="str">
        <f ca="1">IFERROR(__xludf.DUMMYFUNCTION("""COMPUTED_VALUE"""),"特訓ショップ")</f>
        <v>特訓ショップ</v>
      </c>
      <c r="G235" s="3"/>
    </row>
    <row r="236" spans="1:7" x14ac:dyDescent="0.25">
      <c r="A236" s="3" t="str">
        <f ca="1">IFERROR(__xludf.DUMMYFUNCTION("""COMPUTED_VALUE"""),"オフェンス技")</f>
        <v>オフェンス技</v>
      </c>
      <c r="B236" s="3" t="str">
        <f ca="1">IFERROR(__xludf.DUMMYFUNCTION("""COMPUTED_VALUE"""),"ツバメ返し")</f>
        <v>ツバメ返し</v>
      </c>
      <c r="C236" s="3" t="str">
        <f ca="1">IFERROR(__xludf.DUMMYFUNCTION("""COMPUTED_VALUE"""),"火")</f>
        <v>火</v>
      </c>
      <c r="D236" s="3">
        <f ca="1">IFERROR(__xludf.DUMMYFUNCTION("""COMPUTED_VALUE"""),60)</f>
        <v>60</v>
      </c>
      <c r="E236" s="3">
        <f ca="1">IFERROR(__xludf.DUMMYFUNCTION("""COMPUTED_VALUE"""),60)</f>
        <v>60</v>
      </c>
      <c r="F236" s="3" t="str">
        <f ca="1">IFERROR(__xludf.DUMMYFUNCTION("""COMPUTED_VALUE"""),"秘宝堂")</f>
        <v>秘宝堂</v>
      </c>
      <c r="G236" s="3"/>
    </row>
    <row r="237" spans="1:7" x14ac:dyDescent="0.25">
      <c r="A237" s="3" t="str">
        <f ca="1">IFERROR(__xludf.DUMMYFUNCTION("""COMPUTED_VALUE"""),"オフェンス技")</f>
        <v>オフェンス技</v>
      </c>
      <c r="B237" s="3" t="str">
        <f ca="1">IFERROR(__xludf.DUMMYFUNCTION("""COMPUTED_VALUE"""),"ナイアガラフォールズ")</f>
        <v>ナイアガラフォールズ</v>
      </c>
      <c r="C237" s="3" t="str">
        <f ca="1">IFERROR(__xludf.DUMMYFUNCTION("""COMPUTED_VALUE"""),"風")</f>
        <v>風</v>
      </c>
      <c r="D237" s="3">
        <f ca="1">IFERROR(__xludf.DUMMYFUNCTION("""COMPUTED_VALUE"""),60)</f>
        <v>60</v>
      </c>
      <c r="E237" s="3">
        <f ca="1">IFERROR(__xludf.DUMMYFUNCTION("""COMPUTED_VALUE"""),60)</f>
        <v>60</v>
      </c>
      <c r="F237" s="3" t="str">
        <f ca="1">IFERROR(__xludf.DUMMYFUNCTION("""COMPUTED_VALUE"""),"特訓ショップ")</f>
        <v>特訓ショップ</v>
      </c>
      <c r="G237" s="3"/>
    </row>
    <row r="238" spans="1:7" x14ac:dyDescent="0.25">
      <c r="A238" s="3" t="str">
        <f ca="1">IFERROR(__xludf.DUMMYFUNCTION("""COMPUTED_VALUE"""),"オフェンス技")</f>
        <v>オフェンス技</v>
      </c>
      <c r="B238" s="3" t="str">
        <f ca="1">IFERROR(__xludf.DUMMYFUNCTION("""COMPUTED_VALUE"""),"クレイジーサンライト")</f>
        <v>クレイジーサンライト</v>
      </c>
      <c r="C238" s="3" t="str">
        <f ca="1">IFERROR(__xludf.DUMMYFUNCTION("""COMPUTED_VALUE"""),"火")</f>
        <v>火</v>
      </c>
      <c r="D238" s="3">
        <f ca="1">IFERROR(__xludf.DUMMYFUNCTION("""COMPUTED_VALUE"""),60)</f>
        <v>60</v>
      </c>
      <c r="E238" s="3">
        <f ca="1">IFERROR(__xludf.DUMMYFUNCTION("""COMPUTED_VALUE"""),60)</f>
        <v>60</v>
      </c>
      <c r="F238" s="3" t="str">
        <f ca="1">IFERROR(__xludf.DUMMYFUNCTION("""COMPUTED_VALUE"""),"クロニクル百貨店")</f>
        <v>クロニクル百貨店</v>
      </c>
      <c r="G238" s="3"/>
    </row>
    <row r="239" spans="1:7" x14ac:dyDescent="0.25">
      <c r="A239" s="3" t="str">
        <f ca="1">IFERROR(__xludf.DUMMYFUNCTION("""COMPUTED_VALUE"""),"オフェンス技")</f>
        <v>オフェンス技</v>
      </c>
      <c r="B239" s="3" t="str">
        <f ca="1">IFERROR(__xludf.DUMMYFUNCTION("""COMPUTED_VALUE"""),"分身フェイント")</f>
        <v>分身フェイント</v>
      </c>
      <c r="C239" s="3" t="str">
        <f ca="1">IFERROR(__xludf.DUMMYFUNCTION("""COMPUTED_VALUE"""),"林")</f>
        <v>林</v>
      </c>
      <c r="D239" s="3">
        <f ca="1">IFERROR(__xludf.DUMMYFUNCTION("""COMPUTED_VALUE"""),50)</f>
        <v>50</v>
      </c>
      <c r="E239" s="3">
        <f ca="1">IFERROR(__xludf.DUMMYFUNCTION("""COMPUTED_VALUE"""),50)</f>
        <v>50</v>
      </c>
      <c r="F239" s="3" t="str">
        <f ca="1">IFERROR(__xludf.DUMMYFUNCTION("""COMPUTED_VALUE"""),"秘宝堂")</f>
        <v>秘宝堂</v>
      </c>
      <c r="G239" s="3"/>
    </row>
    <row r="240" spans="1:7" x14ac:dyDescent="0.25">
      <c r="A240" s="3" t="str">
        <f ca="1">IFERROR(__xludf.DUMMYFUNCTION("""COMPUTED_VALUE"""),"オフェンス技")</f>
        <v>オフェンス技</v>
      </c>
      <c r="B240" s="3" t="str">
        <f ca="1">IFERROR(__xludf.DUMMYFUNCTION("""COMPUTED_VALUE"""),"竜巻旋風")</f>
        <v>竜巻旋風</v>
      </c>
      <c r="C240" s="3" t="str">
        <f ca="1">IFERROR(__xludf.DUMMYFUNCTION("""COMPUTED_VALUE"""),"風")</f>
        <v>風</v>
      </c>
      <c r="D240" s="3">
        <f ca="1">IFERROR(__xludf.DUMMYFUNCTION("""COMPUTED_VALUE"""),50)</f>
        <v>50</v>
      </c>
      <c r="E240" s="3">
        <f ca="1">IFERROR(__xludf.DUMMYFUNCTION("""COMPUTED_VALUE"""),50)</f>
        <v>50</v>
      </c>
      <c r="F240" s="3" t="str">
        <f ca="1">IFERROR(__xludf.DUMMYFUNCTION("""COMPUTED_VALUE"""),"秘宝堂")</f>
        <v>秘宝堂</v>
      </c>
      <c r="G240" s="3"/>
    </row>
    <row r="241" spans="1:7" x14ac:dyDescent="0.25">
      <c r="A241" s="3" t="str">
        <f ca="1">IFERROR(__xludf.DUMMYFUNCTION("""COMPUTED_VALUE"""),"オフェンス技")</f>
        <v>オフェンス技</v>
      </c>
      <c r="B241" s="3" t="str">
        <f ca="1">IFERROR(__xludf.DUMMYFUNCTION("""COMPUTED_VALUE"""),"ダッシュアクセル")</f>
        <v>ダッシュアクセル</v>
      </c>
      <c r="C241" s="3" t="str">
        <f ca="1">IFERROR(__xludf.DUMMYFUNCTION("""COMPUTED_VALUE"""),"山")</f>
        <v>山</v>
      </c>
      <c r="D241" s="3">
        <f ca="1">IFERROR(__xludf.DUMMYFUNCTION("""COMPUTED_VALUE"""),50)</f>
        <v>50</v>
      </c>
      <c r="E241" s="3">
        <f ca="1">IFERROR(__xludf.DUMMYFUNCTION("""COMPUTED_VALUE"""),50)</f>
        <v>50</v>
      </c>
      <c r="F241" s="3" t="str">
        <f ca="1">IFERROR(__xludf.DUMMYFUNCTION("""COMPUTED_VALUE"""),"秘宝堂")</f>
        <v>秘宝堂</v>
      </c>
      <c r="G241" s="3"/>
    </row>
    <row r="242" spans="1:7" x14ac:dyDescent="0.25">
      <c r="A242" s="3" t="str">
        <f ca="1">IFERROR(__xludf.DUMMYFUNCTION("""COMPUTED_VALUE"""),"オフェンス技")</f>
        <v>オフェンス技</v>
      </c>
      <c r="B242" s="3" t="str">
        <f ca="1">IFERROR(__xludf.DUMMYFUNCTION("""COMPUTED_VALUE"""),"ジグザグスパーク")</f>
        <v>ジグザグスパーク</v>
      </c>
      <c r="C242" s="3" t="str">
        <f ca="1">IFERROR(__xludf.DUMMYFUNCTION("""COMPUTED_VALUE"""),"風")</f>
        <v>風</v>
      </c>
      <c r="D242" s="3">
        <f ca="1">IFERROR(__xludf.DUMMYFUNCTION("""COMPUTED_VALUE"""),50)</f>
        <v>50</v>
      </c>
      <c r="E242" s="3">
        <f ca="1">IFERROR(__xludf.DUMMYFUNCTION("""COMPUTED_VALUE"""),50)</f>
        <v>50</v>
      </c>
      <c r="F242" s="3" t="str">
        <f ca="1">IFERROR(__xludf.DUMMYFUNCTION("""COMPUTED_VALUE"""),"特訓ショップ")</f>
        <v>特訓ショップ</v>
      </c>
      <c r="G242" s="3"/>
    </row>
    <row r="243" spans="1:7" x14ac:dyDescent="0.25">
      <c r="A243" s="3" t="str">
        <f ca="1">IFERROR(__xludf.DUMMYFUNCTION("""COMPUTED_VALUE"""),"オフェンス技")</f>
        <v>オフェンス技</v>
      </c>
      <c r="B243" s="3" t="str">
        <f ca="1">IFERROR(__xludf.DUMMYFUNCTION("""COMPUTED_VALUE"""),"スーパーアルマジロ")</f>
        <v>スーパーアルマジロ</v>
      </c>
      <c r="C243" s="3" t="str">
        <f ca="1">IFERROR(__xludf.DUMMYFUNCTION("""COMPUTED_VALUE"""),"山")</f>
        <v>山</v>
      </c>
      <c r="D243" s="3">
        <f ca="1">IFERROR(__xludf.DUMMYFUNCTION("""COMPUTED_VALUE"""),50)</f>
        <v>50</v>
      </c>
      <c r="E243" s="3">
        <f ca="1">IFERROR(__xludf.DUMMYFUNCTION("""COMPUTED_VALUE"""),50)</f>
        <v>50</v>
      </c>
      <c r="F243" s="3" t="str">
        <f ca="1">IFERROR(__xludf.DUMMYFUNCTION("""COMPUTED_VALUE"""),"特訓ショップ")</f>
        <v>特訓ショップ</v>
      </c>
      <c r="G243" s="3"/>
    </row>
    <row r="244" spans="1:7" x14ac:dyDescent="0.25">
      <c r="A244" s="3" t="str">
        <f ca="1">IFERROR(__xludf.DUMMYFUNCTION("""COMPUTED_VALUE"""),"オフェンス技")</f>
        <v>オフェンス技</v>
      </c>
      <c r="B244" s="3" t="str">
        <f ca="1">IFERROR(__xludf.DUMMYFUNCTION("""COMPUTED_VALUE"""),"五里霧中")</f>
        <v>五里霧中</v>
      </c>
      <c r="C244" s="3" t="str">
        <f ca="1">IFERROR(__xludf.DUMMYFUNCTION("""COMPUTED_VALUE"""),"山")</f>
        <v>山</v>
      </c>
      <c r="D244" s="3">
        <f ca="1">IFERROR(__xludf.DUMMYFUNCTION("""COMPUTED_VALUE"""),50)</f>
        <v>50</v>
      </c>
      <c r="E244" s="3">
        <f ca="1">IFERROR(__xludf.DUMMYFUNCTION("""COMPUTED_VALUE"""),50)</f>
        <v>50</v>
      </c>
      <c r="F244" s="3" t="str">
        <f ca="1">IFERROR(__xludf.DUMMYFUNCTION("""COMPUTED_VALUE"""),"クロニクル百貨店")</f>
        <v>クロニクル百貨店</v>
      </c>
      <c r="G244" s="3"/>
    </row>
    <row r="245" spans="1:7" x14ac:dyDescent="0.25">
      <c r="A245" s="3" t="str">
        <f ca="1">IFERROR(__xludf.DUMMYFUNCTION("""COMPUTED_VALUE"""),"オフェンス技")</f>
        <v>オフェンス技</v>
      </c>
      <c r="B245" s="3" t="str">
        <f ca="1">IFERROR(__xludf.DUMMYFUNCTION("""COMPUTED_VALUE"""),"モグラフェイント")</f>
        <v>モグラフェイント</v>
      </c>
      <c r="C245" s="3" t="str">
        <f ca="1">IFERROR(__xludf.DUMMYFUNCTION("""COMPUTED_VALUE"""),"山")</f>
        <v>山</v>
      </c>
      <c r="D245" s="3">
        <f ca="1">IFERROR(__xludf.DUMMYFUNCTION("""COMPUTED_VALUE"""),50)</f>
        <v>50</v>
      </c>
      <c r="E245" s="3">
        <f ca="1">IFERROR(__xludf.DUMMYFUNCTION("""COMPUTED_VALUE"""),50)</f>
        <v>50</v>
      </c>
      <c r="F245" s="3" t="str">
        <f ca="1">IFERROR(__xludf.DUMMYFUNCTION("""COMPUTED_VALUE"""),"特訓ショップ")</f>
        <v>特訓ショップ</v>
      </c>
      <c r="G245" s="3"/>
    </row>
    <row r="246" spans="1:7" x14ac:dyDescent="0.25">
      <c r="A246" s="3" t="str">
        <f ca="1">IFERROR(__xludf.DUMMYFUNCTION("""COMPUTED_VALUE"""),"オフェンス技")</f>
        <v>オフェンス技</v>
      </c>
      <c r="B246" s="3" t="str">
        <f ca="1">IFERROR(__xludf.DUMMYFUNCTION("""COMPUTED_VALUE"""),"モンキーターン")</f>
        <v>モンキーターン</v>
      </c>
      <c r="C246" s="3" t="str">
        <f ca="1">IFERROR(__xludf.DUMMYFUNCTION("""COMPUTED_VALUE"""),"山")</f>
        <v>山</v>
      </c>
      <c r="D246" s="3">
        <f ca="1">IFERROR(__xludf.DUMMYFUNCTION("""COMPUTED_VALUE"""),50)</f>
        <v>50</v>
      </c>
      <c r="E246" s="3">
        <f ca="1">IFERROR(__xludf.DUMMYFUNCTION("""COMPUTED_VALUE"""),50)</f>
        <v>50</v>
      </c>
      <c r="F246" s="3" t="str">
        <f ca="1">IFERROR(__xludf.DUMMYFUNCTION("""COMPUTED_VALUE"""),"秘宝堂")</f>
        <v>秘宝堂</v>
      </c>
      <c r="G246" s="3"/>
    </row>
    <row r="247" spans="1:7" x14ac:dyDescent="0.25">
      <c r="A247" s="3" t="str">
        <f ca="1">IFERROR(__xludf.DUMMYFUNCTION("""COMPUTED_VALUE"""),"オフェンス技")</f>
        <v>オフェンス技</v>
      </c>
      <c r="B247" s="3" t="str">
        <f ca="1">IFERROR(__xludf.DUMMYFUNCTION("""COMPUTED_VALUE"""),"カンガルーキック")</f>
        <v>カンガルーキック</v>
      </c>
      <c r="C247" s="3" t="str">
        <f ca="1">IFERROR(__xludf.DUMMYFUNCTION("""COMPUTED_VALUE"""),"山")</f>
        <v>山</v>
      </c>
      <c r="D247" s="3">
        <f ca="1">IFERROR(__xludf.DUMMYFUNCTION("""COMPUTED_VALUE"""),50)</f>
        <v>50</v>
      </c>
      <c r="E247" s="3">
        <f ca="1">IFERROR(__xludf.DUMMYFUNCTION("""COMPUTED_VALUE"""),50)</f>
        <v>50</v>
      </c>
      <c r="F247" s="3" t="str">
        <f ca="1">IFERROR(__xludf.DUMMYFUNCTION("""COMPUTED_VALUE"""),"秘宝堂")</f>
        <v>秘宝堂</v>
      </c>
      <c r="G247" s="3"/>
    </row>
    <row r="248" spans="1:7" x14ac:dyDescent="0.25">
      <c r="A248" s="3" t="str">
        <f ca="1">IFERROR(__xludf.DUMMYFUNCTION("""COMPUTED_VALUE"""),"オフェンス技")</f>
        <v>オフェンス技</v>
      </c>
      <c r="B248" s="3" t="str">
        <f ca="1">IFERROR(__xludf.DUMMYFUNCTION("""COMPUTED_VALUE"""),"マタドールフェイント")</f>
        <v>マタドールフェイント</v>
      </c>
      <c r="C248" s="3" t="str">
        <f ca="1">IFERROR(__xludf.DUMMYFUNCTION("""COMPUTED_VALUE"""),"林")</f>
        <v>林</v>
      </c>
      <c r="D248" s="3">
        <f ca="1">IFERROR(__xludf.DUMMYFUNCTION("""COMPUTED_VALUE"""),50)</f>
        <v>50</v>
      </c>
      <c r="E248" s="3">
        <f ca="1">IFERROR(__xludf.DUMMYFUNCTION("""COMPUTED_VALUE"""),50)</f>
        <v>50</v>
      </c>
      <c r="F248" s="3" t="str">
        <f ca="1">IFERROR(__xludf.DUMMYFUNCTION("""COMPUTED_VALUE"""),"秘宝堂")</f>
        <v>秘宝堂</v>
      </c>
      <c r="G248" s="3"/>
    </row>
    <row r="249" spans="1:7" x14ac:dyDescent="0.25">
      <c r="A249" s="3" t="str">
        <f ca="1">IFERROR(__xludf.DUMMYFUNCTION("""COMPUTED_VALUE"""),"オフェンス技")</f>
        <v>オフェンス技</v>
      </c>
      <c r="B249" s="3" t="str">
        <f ca="1">IFERROR(__xludf.DUMMYFUNCTION("""COMPUTED_VALUE"""),"ドッグラン")</f>
        <v>ドッグラン</v>
      </c>
      <c r="C249" s="3" t="str">
        <f ca="1">IFERROR(__xludf.DUMMYFUNCTION("""COMPUTED_VALUE"""),"火")</f>
        <v>火</v>
      </c>
      <c r="D249" s="3">
        <f ca="1">IFERROR(__xludf.DUMMYFUNCTION("""COMPUTED_VALUE"""),50)</f>
        <v>50</v>
      </c>
      <c r="E249" s="3">
        <f ca="1">IFERROR(__xludf.DUMMYFUNCTION("""COMPUTED_VALUE"""),50)</f>
        <v>50</v>
      </c>
      <c r="F249" s="3" t="str">
        <f ca="1">IFERROR(__xludf.DUMMYFUNCTION("""COMPUTED_VALUE"""),"秘宝堂")</f>
        <v>秘宝堂</v>
      </c>
      <c r="G249" s="3"/>
    </row>
    <row r="250" spans="1:7" x14ac:dyDescent="0.25">
      <c r="A250" s="3" t="str">
        <f ca="1">IFERROR(__xludf.DUMMYFUNCTION("""COMPUTED_VALUE"""),"オフェンス技")</f>
        <v>オフェンス技</v>
      </c>
      <c r="B250" s="3" t="str">
        <f ca="1">IFERROR(__xludf.DUMMYFUNCTION("""COMPUTED_VALUE"""),"なみのりピエロ")</f>
        <v>なみのりピエロ</v>
      </c>
      <c r="C250" s="3" t="str">
        <f ca="1">IFERROR(__xludf.DUMMYFUNCTION("""COMPUTED_VALUE"""),"風")</f>
        <v>風</v>
      </c>
      <c r="D250" s="3">
        <f ca="1">IFERROR(__xludf.DUMMYFUNCTION("""COMPUTED_VALUE"""),50)</f>
        <v>50</v>
      </c>
      <c r="E250" s="3">
        <f ca="1">IFERROR(__xludf.DUMMYFUNCTION("""COMPUTED_VALUE"""),50)</f>
        <v>50</v>
      </c>
      <c r="F250" s="3" t="str">
        <f ca="1">IFERROR(__xludf.DUMMYFUNCTION("""COMPUTED_VALUE"""),"VSストア")</f>
        <v>VSストア</v>
      </c>
      <c r="G250" s="3"/>
    </row>
    <row r="251" spans="1:7" x14ac:dyDescent="0.25">
      <c r="A251" s="3" t="str">
        <f ca="1">IFERROR(__xludf.DUMMYFUNCTION("""COMPUTED_VALUE"""),"オフェンス技")</f>
        <v>オフェンス技</v>
      </c>
      <c r="B251" s="3" t="str">
        <f ca="1">IFERROR(__xludf.DUMMYFUNCTION("""COMPUTED_VALUE"""),"トリックボール")</f>
        <v>トリックボール</v>
      </c>
      <c r="C251" s="3" t="str">
        <f ca="1">IFERROR(__xludf.DUMMYFUNCTION("""COMPUTED_VALUE"""),"林")</f>
        <v>林</v>
      </c>
      <c r="D251" s="3">
        <f ca="1">IFERROR(__xludf.DUMMYFUNCTION("""COMPUTED_VALUE"""),50)</f>
        <v>50</v>
      </c>
      <c r="E251" s="3">
        <f ca="1">IFERROR(__xludf.DUMMYFUNCTION("""COMPUTED_VALUE"""),50)</f>
        <v>50</v>
      </c>
      <c r="F251" s="3" t="str">
        <f ca="1">IFERROR(__xludf.DUMMYFUNCTION("""COMPUTED_VALUE"""),"秘宝堂")</f>
        <v>秘宝堂</v>
      </c>
      <c r="G251" s="3"/>
    </row>
    <row r="252" spans="1:7" x14ac:dyDescent="0.25">
      <c r="A252" s="3" t="str">
        <f ca="1">IFERROR(__xludf.DUMMYFUNCTION("""COMPUTED_VALUE"""),"オフェンス技")</f>
        <v>オフェンス技</v>
      </c>
      <c r="B252" s="3" t="str">
        <f ca="1">IFERROR(__xludf.DUMMYFUNCTION("""COMPUTED_VALUE"""),"フューチャー・アイ")</f>
        <v>フューチャー・アイ</v>
      </c>
      <c r="C252" s="3" t="str">
        <f ca="1">IFERROR(__xludf.DUMMYFUNCTION("""COMPUTED_VALUE"""),"林")</f>
        <v>林</v>
      </c>
      <c r="D252" s="3">
        <f ca="1">IFERROR(__xludf.DUMMYFUNCTION("""COMPUTED_VALUE"""),50)</f>
        <v>50</v>
      </c>
      <c r="E252" s="3">
        <f ca="1">IFERROR(__xludf.DUMMYFUNCTION("""COMPUTED_VALUE"""),50)</f>
        <v>50</v>
      </c>
      <c r="F252" s="3" t="str">
        <f ca="1">IFERROR(__xludf.DUMMYFUNCTION("""COMPUTED_VALUE"""),"クロニクル百貨店")</f>
        <v>クロニクル百貨店</v>
      </c>
      <c r="G252" s="3"/>
    </row>
    <row r="253" spans="1:7" x14ac:dyDescent="0.25">
      <c r="A253" s="3" t="str">
        <f ca="1">IFERROR(__xludf.DUMMYFUNCTION("""COMPUTED_VALUE"""),"オフェンス技")</f>
        <v>オフェンス技</v>
      </c>
      <c r="B253" s="3" t="str">
        <f ca="1">IFERROR(__xludf.DUMMYFUNCTION("""COMPUTED_VALUE"""),"ブーメランフェイント")</f>
        <v>ブーメランフェイント</v>
      </c>
      <c r="C253" s="3" t="str">
        <f ca="1">IFERROR(__xludf.DUMMYFUNCTION("""COMPUTED_VALUE"""),"山")</f>
        <v>山</v>
      </c>
      <c r="D253" s="3">
        <f ca="1">IFERROR(__xludf.DUMMYFUNCTION("""COMPUTED_VALUE"""),50)</f>
        <v>50</v>
      </c>
      <c r="E253" s="3">
        <f ca="1">IFERROR(__xludf.DUMMYFUNCTION("""COMPUTED_VALUE"""),50)</f>
        <v>50</v>
      </c>
      <c r="F253" s="3" t="str">
        <f ca="1">IFERROR(__xludf.DUMMYFUNCTION("""COMPUTED_VALUE"""),"秘宝堂")</f>
        <v>秘宝堂</v>
      </c>
      <c r="G253" s="3"/>
    </row>
    <row r="254" spans="1:7" x14ac:dyDescent="0.25">
      <c r="A254" s="3" t="str">
        <f ca="1">IFERROR(__xludf.DUMMYFUNCTION("""COMPUTED_VALUE"""),"オフェンス技")</f>
        <v>オフェンス技</v>
      </c>
      <c r="B254" s="3" t="str">
        <f ca="1">IFERROR(__xludf.DUMMYFUNCTION("""COMPUTED_VALUE"""),"エンデバーラン")</f>
        <v>エンデバーラン</v>
      </c>
      <c r="C254" s="3" t="str">
        <f ca="1">IFERROR(__xludf.DUMMYFUNCTION("""COMPUTED_VALUE"""),"風")</f>
        <v>風</v>
      </c>
      <c r="D254" s="3">
        <f ca="1">IFERROR(__xludf.DUMMYFUNCTION("""COMPUTED_VALUE"""),50)</f>
        <v>50</v>
      </c>
      <c r="E254" s="3">
        <f ca="1">IFERROR(__xludf.DUMMYFUNCTION("""COMPUTED_VALUE"""),50)</f>
        <v>50</v>
      </c>
      <c r="F254" s="3" t="str">
        <f ca="1">IFERROR(__xludf.DUMMYFUNCTION("""COMPUTED_VALUE"""),"特訓ショップ")</f>
        <v>特訓ショップ</v>
      </c>
      <c r="G254" s="3"/>
    </row>
    <row r="255" spans="1:7" x14ac:dyDescent="0.25">
      <c r="A255" s="3" t="str">
        <f ca="1">IFERROR(__xludf.DUMMYFUNCTION("""COMPUTED_VALUE"""),"オフェンス技")</f>
        <v>オフェンス技</v>
      </c>
      <c r="B255" s="3" t="str">
        <f ca="1">IFERROR(__xludf.DUMMYFUNCTION("""COMPUTED_VALUE"""),"オーバーグロウ")</f>
        <v>オーバーグロウ</v>
      </c>
      <c r="C255" s="3" t="str">
        <f ca="1">IFERROR(__xludf.DUMMYFUNCTION("""COMPUTED_VALUE"""),"火")</f>
        <v>火</v>
      </c>
      <c r="D255" s="3">
        <f ca="1">IFERROR(__xludf.DUMMYFUNCTION("""COMPUTED_VALUE"""),50)</f>
        <v>50</v>
      </c>
      <c r="E255" s="3">
        <f ca="1">IFERROR(__xludf.DUMMYFUNCTION("""COMPUTED_VALUE"""),50)</f>
        <v>50</v>
      </c>
      <c r="F255" s="3" t="str">
        <f ca="1">IFERROR(__xludf.DUMMYFUNCTION("""COMPUTED_VALUE"""),"特訓ショップ")</f>
        <v>特訓ショップ</v>
      </c>
      <c r="G255" s="3"/>
    </row>
    <row r="256" spans="1:7" x14ac:dyDescent="0.25">
      <c r="A256" s="3" t="str">
        <f ca="1">IFERROR(__xludf.DUMMYFUNCTION("""COMPUTED_VALUE"""),"オフェンス技")</f>
        <v>オフェンス技</v>
      </c>
      <c r="B256" s="3" t="str">
        <f ca="1">IFERROR(__xludf.DUMMYFUNCTION("""COMPUTED_VALUE"""),"ビューティフルフープ")</f>
        <v>ビューティフルフープ</v>
      </c>
      <c r="C256" s="3" t="str">
        <f ca="1">IFERROR(__xludf.DUMMYFUNCTION("""COMPUTED_VALUE"""),"風")</f>
        <v>風</v>
      </c>
      <c r="D256" s="3">
        <f ca="1">IFERROR(__xludf.DUMMYFUNCTION("""COMPUTED_VALUE"""),45)</f>
        <v>45</v>
      </c>
      <c r="E256" s="3">
        <f ca="1">IFERROR(__xludf.DUMMYFUNCTION("""COMPUTED_VALUE"""),45)</f>
        <v>45</v>
      </c>
      <c r="F256" s="3" t="str">
        <f ca="1">IFERROR(__xludf.DUMMYFUNCTION("""COMPUTED_VALUE"""),"秘宝堂")</f>
        <v>秘宝堂</v>
      </c>
      <c r="G256" s="3"/>
    </row>
    <row r="257" spans="1:7" x14ac:dyDescent="0.25">
      <c r="A257" s="3" t="str">
        <f ca="1">IFERROR(__xludf.DUMMYFUNCTION("""COMPUTED_VALUE"""),"オフェンス技")</f>
        <v>オフェンス技</v>
      </c>
      <c r="B257" s="3" t="str">
        <f ca="1">IFERROR(__xludf.DUMMYFUNCTION("""COMPUTED_VALUE"""),"ホッピングトリック")</f>
        <v>ホッピングトリック</v>
      </c>
      <c r="C257" s="3" t="str">
        <f ca="1">IFERROR(__xludf.DUMMYFUNCTION("""COMPUTED_VALUE"""),"リアルスキル")</f>
        <v>リアルスキル</v>
      </c>
      <c r="D257" s="3">
        <f ca="1">IFERROR(__xludf.DUMMYFUNCTION("""COMPUTED_VALUE"""),30)</f>
        <v>30</v>
      </c>
      <c r="E257" s="3">
        <f ca="1">IFERROR(__xludf.DUMMYFUNCTION("""COMPUTED_VALUE"""),30)</f>
        <v>30</v>
      </c>
      <c r="F257" s="3" t="str">
        <f ca="1">IFERROR(__xludf.DUMMYFUNCTION("""COMPUTED_VALUE"""),"特訓ショップ")</f>
        <v>特訓ショップ</v>
      </c>
      <c r="G257" s="3"/>
    </row>
    <row r="258" spans="1:7" x14ac:dyDescent="0.25">
      <c r="A258" s="3" t="str">
        <f ca="1">IFERROR(__xludf.DUMMYFUNCTION("""COMPUTED_VALUE"""),"オフェンス技")</f>
        <v>オフェンス技</v>
      </c>
      <c r="B258" s="3" t="str">
        <f ca="1">IFERROR(__xludf.DUMMYFUNCTION("""COMPUTED_VALUE"""),"ゆさぶりフェイント")</f>
        <v>ゆさぶりフェイント</v>
      </c>
      <c r="C258" s="3" t="str">
        <f ca="1">IFERROR(__xludf.DUMMYFUNCTION("""COMPUTED_VALUE"""),"リアルスキル")</f>
        <v>リアルスキル</v>
      </c>
      <c r="D258" s="3">
        <f ca="1">IFERROR(__xludf.DUMMYFUNCTION("""COMPUTED_VALUE"""),30)</f>
        <v>30</v>
      </c>
      <c r="E258" s="3">
        <f ca="1">IFERROR(__xludf.DUMMYFUNCTION("""COMPUTED_VALUE"""),30)</f>
        <v>30</v>
      </c>
      <c r="F258" s="3" t="str">
        <f ca="1">IFERROR(__xludf.DUMMYFUNCTION("""COMPUTED_VALUE"""),"特訓ショップ")</f>
        <v>特訓ショップ</v>
      </c>
      <c r="G258" s="3"/>
    </row>
    <row r="259" spans="1:7" x14ac:dyDescent="0.25">
      <c r="A259" s="3" t="str">
        <f ca="1">IFERROR(__xludf.DUMMYFUNCTION("""COMPUTED_VALUE"""),"オフェンス技")</f>
        <v>オフェンス技</v>
      </c>
      <c r="B259" s="3" t="str">
        <f ca="1">IFERROR(__xludf.DUMMYFUNCTION("""COMPUTED_VALUE"""),"ヒールリフト")</f>
        <v>ヒールリフト</v>
      </c>
      <c r="C259" s="3" t="str">
        <f ca="1">IFERROR(__xludf.DUMMYFUNCTION("""COMPUTED_VALUE"""),"リアルスキル")</f>
        <v>リアルスキル</v>
      </c>
      <c r="D259" s="3">
        <f ca="1">IFERROR(__xludf.DUMMYFUNCTION("""COMPUTED_VALUE"""),30)</f>
        <v>30</v>
      </c>
      <c r="E259" s="3">
        <f ca="1">IFERROR(__xludf.DUMMYFUNCTION("""COMPUTED_VALUE"""),30)</f>
        <v>30</v>
      </c>
      <c r="F259" s="3" t="str">
        <f ca="1">IFERROR(__xludf.DUMMYFUNCTION("""COMPUTED_VALUE"""),"特訓ショップ")</f>
        <v>特訓ショップ</v>
      </c>
      <c r="G259" s="3"/>
    </row>
    <row r="260" spans="1:7" x14ac:dyDescent="0.25">
      <c r="A260" s="3" t="str">
        <f ca="1">IFERROR(__xludf.DUMMYFUNCTION("""COMPUTED_VALUE"""),"オフェンス技")</f>
        <v>オフェンス技</v>
      </c>
      <c r="B260" s="3" t="str">
        <f ca="1">IFERROR(__xludf.DUMMYFUNCTION("""COMPUTED_VALUE"""),"また抜き")</f>
        <v>また抜き</v>
      </c>
      <c r="C260" s="3" t="str">
        <f ca="1">IFERROR(__xludf.DUMMYFUNCTION("""COMPUTED_VALUE"""),"リアルスキル")</f>
        <v>リアルスキル</v>
      </c>
      <c r="D260" s="3">
        <f ca="1">IFERROR(__xludf.DUMMYFUNCTION("""COMPUTED_VALUE"""),30)</f>
        <v>30</v>
      </c>
      <c r="E260" s="3">
        <f ca="1">IFERROR(__xludf.DUMMYFUNCTION("""COMPUTED_VALUE"""),30)</f>
        <v>30</v>
      </c>
      <c r="F260" s="3" t="str">
        <f ca="1">IFERROR(__xludf.DUMMYFUNCTION("""COMPUTED_VALUE"""),"特訓ショップ")</f>
        <v>特訓ショップ</v>
      </c>
      <c r="G260" s="3"/>
    </row>
    <row r="261" spans="1:7" x14ac:dyDescent="0.25">
      <c r="A261" s="3" t="str">
        <f ca="1">IFERROR(__xludf.DUMMYFUNCTION("""COMPUTED_VALUE"""),"オフェンス技")</f>
        <v>オフェンス技</v>
      </c>
      <c r="B261" s="3" t="str">
        <f ca="1">IFERROR(__xludf.DUMMYFUNCTION("""COMPUTED_VALUE"""),"フェイント抜き")</f>
        <v>フェイント抜き</v>
      </c>
      <c r="C261" s="3" t="str">
        <f ca="1">IFERROR(__xludf.DUMMYFUNCTION("""COMPUTED_VALUE"""),"リアルスキル")</f>
        <v>リアルスキル</v>
      </c>
      <c r="D261" s="3">
        <f ca="1">IFERROR(__xludf.DUMMYFUNCTION("""COMPUTED_VALUE"""),30)</f>
        <v>30</v>
      </c>
      <c r="E261" s="3">
        <f ca="1">IFERROR(__xludf.DUMMYFUNCTION("""COMPUTED_VALUE"""),30)</f>
        <v>30</v>
      </c>
      <c r="F261" s="3" t="str">
        <f ca="1">IFERROR(__xludf.DUMMYFUNCTION("""COMPUTED_VALUE"""),"特訓ショップ")</f>
        <v>特訓ショップ</v>
      </c>
      <c r="G261" s="3"/>
    </row>
    <row r="262" spans="1:7" x14ac:dyDescent="0.25">
      <c r="A262" s="3" t="str">
        <f ca="1">IFERROR(__xludf.DUMMYFUNCTION("""COMPUTED_VALUE"""),"オフェンス技")</f>
        <v>オフェンス技</v>
      </c>
      <c r="B262" s="3" t="str">
        <f ca="1">IFERROR(__xludf.DUMMYFUNCTION("""COMPUTED_VALUE"""),"かく乱ステップ")</f>
        <v>かく乱ステップ</v>
      </c>
      <c r="C262" s="3" t="str">
        <f ca="1">IFERROR(__xludf.DUMMYFUNCTION("""COMPUTED_VALUE"""),"リアルスキル")</f>
        <v>リアルスキル</v>
      </c>
      <c r="D262" s="3">
        <f ca="1">IFERROR(__xludf.DUMMYFUNCTION("""COMPUTED_VALUE"""),30)</f>
        <v>30</v>
      </c>
      <c r="E262" s="3">
        <f ca="1">IFERROR(__xludf.DUMMYFUNCTION("""COMPUTED_VALUE"""),30)</f>
        <v>30</v>
      </c>
      <c r="F262" s="3" t="str">
        <f ca="1">IFERROR(__xludf.DUMMYFUNCTION("""COMPUTED_VALUE"""),"特訓ショップ")</f>
        <v>特訓ショップ</v>
      </c>
      <c r="G262" s="3"/>
    </row>
    <row r="263" spans="1:7" x14ac:dyDescent="0.25">
      <c r="A263" s="3" t="str">
        <f ca="1">IFERROR(__xludf.DUMMYFUNCTION("""COMPUTED_VALUE"""),"オフェンス技")</f>
        <v>オフェンス技</v>
      </c>
      <c r="B263" s="3" t="str">
        <f ca="1">IFERROR(__xludf.DUMMYFUNCTION("""COMPUTED_VALUE"""),"クロシオライド")</f>
        <v>クロシオライド</v>
      </c>
      <c r="C263" s="3" t="str">
        <f ca="1">IFERROR(__xludf.DUMMYFUNCTION("""COMPUTED_VALUE"""),"山")</f>
        <v>山</v>
      </c>
      <c r="D263" s="3"/>
      <c r="E263" s="3"/>
      <c r="F263" s="3"/>
      <c r="G263" s="3"/>
    </row>
    <row r="264" spans="1:7" x14ac:dyDescent="0.25">
      <c r="A264" s="3" t="str">
        <f ca="1">IFERROR(__xludf.DUMMYFUNCTION("""COMPUTED_VALUE"""),"オフェンス技")</f>
        <v>オフェンス技</v>
      </c>
      <c r="B264" s="3" t="str">
        <f ca="1">IFERROR(__xludf.DUMMYFUNCTION("""COMPUTED_VALUE"""),"王の剣")</f>
        <v>王の剣</v>
      </c>
      <c r="C264" s="3" t="str">
        <f ca="1">IFERROR(__xludf.DUMMYFUNCTION("""COMPUTED_VALUE"""),"山")</f>
        <v>山</v>
      </c>
      <c r="D264" s="3"/>
      <c r="E264" s="3"/>
      <c r="F264" s="3"/>
      <c r="G264" s="3"/>
    </row>
    <row r="265" spans="1:7" x14ac:dyDescent="0.25">
      <c r="A265" s="3" t="str">
        <f ca="1">IFERROR(__xludf.DUMMYFUNCTION("""COMPUTED_VALUE"""),"ディフェンス技")</f>
        <v>ディフェンス技</v>
      </c>
      <c r="B265" s="3" t="str">
        <f ca="1">IFERROR(__xludf.DUMMYFUNCTION("""COMPUTED_VALUE"""),"シグマゾーン")</f>
        <v>シグマゾーン</v>
      </c>
      <c r="C265" s="3" t="str">
        <f ca="1">IFERROR(__xludf.DUMMYFUNCTION("""COMPUTED_VALUE"""),"林")</f>
        <v>林</v>
      </c>
      <c r="D265" s="3">
        <f ca="1">IFERROR(__xludf.DUMMYFUNCTION("""COMPUTED_VALUE"""),85)</f>
        <v>85</v>
      </c>
      <c r="E265" s="3">
        <f ca="1">IFERROR(__xludf.DUMMYFUNCTION("""COMPUTED_VALUE"""),80)</f>
        <v>80</v>
      </c>
      <c r="F265" s="3" t="str">
        <f ca="1">IFERROR(__xludf.DUMMYFUNCTION("""COMPUTED_VALUE"""),"クロニクル百貨店")</f>
        <v>クロニクル百貨店</v>
      </c>
      <c r="G265" s="3"/>
    </row>
    <row r="266" spans="1:7" x14ac:dyDescent="0.25">
      <c r="A266" s="3" t="str">
        <f ca="1">IFERROR(__xludf.DUMMYFUNCTION("""COMPUTED_VALUE"""),"ディフェンス技")</f>
        <v>ディフェンス技</v>
      </c>
      <c r="B266" s="3" t="str">
        <f ca="1">IFERROR(__xludf.DUMMYFUNCTION("""COMPUTED_VALUE"""),"ノーエスケイプ")</f>
        <v>ノーエスケイプ</v>
      </c>
      <c r="C266" s="3" t="str">
        <f ca="1">IFERROR(__xludf.DUMMYFUNCTION("""COMPUTED_VALUE"""),"山")</f>
        <v>山</v>
      </c>
      <c r="D266" s="3">
        <f ca="1">IFERROR(__xludf.DUMMYFUNCTION("""COMPUTED_VALUE"""),85)</f>
        <v>85</v>
      </c>
      <c r="E266" s="3">
        <f ca="1">IFERROR(__xludf.DUMMYFUNCTION("""COMPUTED_VALUE"""),80)</f>
        <v>80</v>
      </c>
      <c r="F266" s="3" t="str">
        <f ca="1">IFERROR(__xludf.DUMMYFUNCTION("""COMPUTED_VALUE"""),"秘宝堂")</f>
        <v>秘宝堂</v>
      </c>
      <c r="G266" s="3"/>
    </row>
    <row r="267" spans="1:7" x14ac:dyDescent="0.25">
      <c r="A267" s="3" t="str">
        <f ca="1">IFERROR(__xludf.DUMMYFUNCTION("""COMPUTED_VALUE"""),"ディフェンス技")</f>
        <v>ディフェンス技</v>
      </c>
      <c r="B267" s="3" t="str">
        <f ca="1">IFERROR(__xludf.DUMMYFUNCTION("""COMPUTED_VALUE"""),"ボディシールド")</f>
        <v>ボディシールド</v>
      </c>
      <c r="C267" s="3" t="str">
        <f ca="1">IFERROR(__xludf.DUMMYFUNCTION("""COMPUTED_VALUE"""),"山")</f>
        <v>山</v>
      </c>
      <c r="D267" s="3">
        <f ca="1">IFERROR(__xludf.DUMMYFUNCTION("""COMPUTED_VALUE"""),85)</f>
        <v>85</v>
      </c>
      <c r="E267" s="3">
        <f ca="1">IFERROR(__xludf.DUMMYFUNCTION("""COMPUTED_VALUE"""),80)</f>
        <v>80</v>
      </c>
      <c r="F267" s="3" t="str">
        <f ca="1">IFERROR(__xludf.DUMMYFUNCTION("""COMPUTED_VALUE"""),"秘宝堂")</f>
        <v>秘宝堂</v>
      </c>
      <c r="G267" s="3"/>
    </row>
    <row r="268" spans="1:7" x14ac:dyDescent="0.25">
      <c r="A268" s="3" t="str">
        <f ca="1">IFERROR(__xludf.DUMMYFUNCTION("""COMPUTED_VALUE"""),"ディフェンス技")</f>
        <v>ディフェンス技</v>
      </c>
      <c r="B268" s="3" t="str">
        <f ca="1">IFERROR(__xludf.DUMMYFUNCTION("""COMPUTED_VALUE"""),"パーフェクト・タワー")</f>
        <v>パーフェクト・タワー</v>
      </c>
      <c r="C268" s="3" t="str">
        <f ca="1">IFERROR(__xludf.DUMMYFUNCTION("""COMPUTED_VALUE"""),"風")</f>
        <v>風</v>
      </c>
      <c r="D268" s="3">
        <f ca="1">IFERROR(__xludf.DUMMYFUNCTION("""COMPUTED_VALUE"""),85)</f>
        <v>85</v>
      </c>
      <c r="E268" s="3">
        <f ca="1">IFERROR(__xludf.DUMMYFUNCTION("""COMPUTED_VALUE"""),80)</f>
        <v>80</v>
      </c>
      <c r="F268" s="3" t="str">
        <f ca="1">IFERROR(__xludf.DUMMYFUNCTION("""COMPUTED_VALUE"""),"クロニクル百貨店")</f>
        <v>クロニクル百貨店</v>
      </c>
      <c r="G268" s="3"/>
    </row>
    <row r="269" spans="1:7" x14ac:dyDescent="0.25">
      <c r="A269" s="3" t="str">
        <f ca="1">IFERROR(__xludf.DUMMYFUNCTION("""COMPUTED_VALUE"""),"ディフェンス技")</f>
        <v>ディフェンス技</v>
      </c>
      <c r="B269" s="3" t="str">
        <f ca="1">IFERROR(__xludf.DUMMYFUNCTION("""COMPUTED_VALUE"""),"きらきらイリュージョン")</f>
        <v>きらきらイリュージョン</v>
      </c>
      <c r="C269" s="3" t="str">
        <f ca="1">IFERROR(__xludf.DUMMYFUNCTION("""COMPUTED_VALUE"""),"林")</f>
        <v>林</v>
      </c>
      <c r="D269" s="3">
        <f ca="1">IFERROR(__xludf.DUMMYFUNCTION("""COMPUTED_VALUE"""),85)</f>
        <v>85</v>
      </c>
      <c r="E269" s="3">
        <f ca="1">IFERROR(__xludf.DUMMYFUNCTION("""COMPUTED_VALUE"""),80)</f>
        <v>80</v>
      </c>
      <c r="F269" s="3" t="str">
        <f ca="1">IFERROR(__xludf.DUMMYFUNCTION("""COMPUTED_VALUE"""),"秘宝堂")</f>
        <v>秘宝堂</v>
      </c>
      <c r="G269" s="3"/>
    </row>
    <row r="270" spans="1:7" x14ac:dyDescent="0.25">
      <c r="A270" s="3" t="str">
        <f ca="1">IFERROR(__xludf.DUMMYFUNCTION("""COMPUTED_VALUE"""),"ディフェンス技")</f>
        <v>ディフェンス技</v>
      </c>
      <c r="B270" s="3" t="str">
        <f ca="1">IFERROR(__xludf.DUMMYFUNCTION("""COMPUTED_VALUE"""),"一夜城")</f>
        <v>一夜城</v>
      </c>
      <c r="C270" s="3" t="str">
        <f ca="1">IFERROR(__xludf.DUMMYFUNCTION("""COMPUTED_VALUE"""),"火")</f>
        <v>火</v>
      </c>
      <c r="D270" s="3">
        <f ca="1">IFERROR(__xludf.DUMMYFUNCTION("""COMPUTED_VALUE"""),85)</f>
        <v>85</v>
      </c>
      <c r="E270" s="3">
        <f ca="1">IFERROR(__xludf.DUMMYFUNCTION("""COMPUTED_VALUE"""),80)</f>
        <v>80</v>
      </c>
      <c r="F270" s="3" t="str">
        <f ca="1">IFERROR(__xludf.DUMMYFUNCTION("""COMPUTED_VALUE"""),"秘宝堂")</f>
        <v>秘宝堂</v>
      </c>
      <c r="G270" s="3" t="str">
        <f ca="1">IFERROR(__xludf.DUMMYFUNCTION("""COMPUTED_VALUE"""),"シュートブロック")</f>
        <v>シュートブロック</v>
      </c>
    </row>
    <row r="271" spans="1:7" x14ac:dyDescent="0.25">
      <c r="A271" s="3" t="str">
        <f ca="1">IFERROR(__xludf.DUMMYFUNCTION("""COMPUTED_VALUE"""),"ディフェンス技")</f>
        <v>ディフェンス技</v>
      </c>
      <c r="B271" s="3" t="str">
        <f ca="1">IFERROR(__xludf.DUMMYFUNCTION("""COMPUTED_VALUE"""),"無影乱舞")</f>
        <v>無影乱舞</v>
      </c>
      <c r="C271" s="3" t="str">
        <f ca="1">IFERROR(__xludf.DUMMYFUNCTION("""COMPUTED_VALUE"""),"山")</f>
        <v>山</v>
      </c>
      <c r="D271" s="3">
        <f ca="1">IFERROR(__xludf.DUMMYFUNCTION("""COMPUTED_VALUE"""),85)</f>
        <v>85</v>
      </c>
      <c r="E271" s="3">
        <f ca="1">IFERROR(__xludf.DUMMYFUNCTION("""COMPUTED_VALUE"""),80)</f>
        <v>80</v>
      </c>
      <c r="F271" s="3" t="str">
        <f ca="1">IFERROR(__xludf.DUMMYFUNCTION("""COMPUTED_VALUE"""),"特訓ショップ")</f>
        <v>特訓ショップ</v>
      </c>
      <c r="G271" s="3"/>
    </row>
    <row r="272" spans="1:7" x14ac:dyDescent="0.25">
      <c r="A272" s="3" t="str">
        <f ca="1">IFERROR(__xludf.DUMMYFUNCTION("""COMPUTED_VALUE"""),"ディフェンス技")</f>
        <v>ディフェンス技</v>
      </c>
      <c r="B272" s="3" t="str">
        <f ca="1">IFERROR(__xludf.DUMMYFUNCTION("""COMPUTED_VALUE"""),"ザ・フォート")</f>
        <v>ザ・フォート</v>
      </c>
      <c r="C272" s="3" t="str">
        <f ca="1">IFERROR(__xludf.DUMMYFUNCTION("""COMPUTED_VALUE"""),"山")</f>
        <v>山</v>
      </c>
      <c r="D272" s="3">
        <f ca="1">IFERROR(__xludf.DUMMYFUNCTION("""COMPUTED_VALUE"""),85)</f>
        <v>85</v>
      </c>
      <c r="E272" s="3">
        <f ca="1">IFERROR(__xludf.DUMMYFUNCTION("""COMPUTED_VALUE"""),80)</f>
        <v>80</v>
      </c>
      <c r="F272" s="3" t="str">
        <f ca="1">IFERROR(__xludf.DUMMYFUNCTION("""COMPUTED_VALUE"""),"特訓ショップ")</f>
        <v>特訓ショップ</v>
      </c>
      <c r="G272" s="3"/>
    </row>
    <row r="273" spans="1:7" x14ac:dyDescent="0.25">
      <c r="A273" s="3" t="str">
        <f ca="1">IFERROR(__xludf.DUMMYFUNCTION("""COMPUTED_VALUE"""),"ディフェンス技")</f>
        <v>ディフェンス技</v>
      </c>
      <c r="B273" s="3" t="str">
        <f ca="1">IFERROR(__xludf.DUMMYFUNCTION("""COMPUTED_VALUE"""),"かごめかごめ")</f>
        <v>かごめかごめ</v>
      </c>
      <c r="C273" s="3" t="str">
        <f ca="1">IFERROR(__xludf.DUMMYFUNCTION("""COMPUTED_VALUE"""),"山")</f>
        <v>山</v>
      </c>
      <c r="D273" s="3">
        <f ca="1">IFERROR(__xludf.DUMMYFUNCTION("""COMPUTED_VALUE"""),70)</f>
        <v>70</v>
      </c>
      <c r="E273" s="3">
        <f ca="1">IFERROR(__xludf.DUMMYFUNCTION("""COMPUTED_VALUE"""),70)</f>
        <v>70</v>
      </c>
      <c r="F273" s="3" t="str">
        <f ca="1">IFERROR(__xludf.DUMMYFUNCTION("""COMPUTED_VALUE"""),"クロニクル百貨店")</f>
        <v>クロニクル百貨店</v>
      </c>
      <c r="G273" s="3"/>
    </row>
    <row r="274" spans="1:7" x14ac:dyDescent="0.25">
      <c r="A274" s="3" t="str">
        <f ca="1">IFERROR(__xludf.DUMMYFUNCTION("""COMPUTED_VALUE"""),"ディフェンス技")</f>
        <v>ディフェンス技</v>
      </c>
      <c r="B274" s="3" t="str">
        <f ca="1">IFERROR(__xludf.DUMMYFUNCTION("""COMPUTED_VALUE"""),"メガクェイク")</f>
        <v>メガクェイク</v>
      </c>
      <c r="C274" s="3" t="str">
        <f ca="1">IFERROR(__xludf.DUMMYFUNCTION("""COMPUTED_VALUE"""),"山")</f>
        <v>山</v>
      </c>
      <c r="D274" s="3">
        <f ca="1">IFERROR(__xludf.DUMMYFUNCTION("""COMPUTED_VALUE"""),70)</f>
        <v>70</v>
      </c>
      <c r="E274" s="3">
        <f ca="1">IFERROR(__xludf.DUMMYFUNCTION("""COMPUTED_VALUE"""),70)</f>
        <v>70</v>
      </c>
      <c r="F274" s="3" t="str">
        <f ca="1">IFERROR(__xludf.DUMMYFUNCTION("""COMPUTED_VALUE"""),"特訓ショップ")</f>
        <v>特訓ショップ</v>
      </c>
      <c r="G274" s="3"/>
    </row>
    <row r="275" spans="1:7" x14ac:dyDescent="0.25">
      <c r="A275" s="3" t="str">
        <f ca="1">IFERROR(__xludf.DUMMYFUNCTION("""COMPUTED_VALUE"""),"ディフェンス技")</f>
        <v>ディフェンス技</v>
      </c>
      <c r="B275" s="3" t="str">
        <f ca="1">IFERROR(__xludf.DUMMYFUNCTION("""COMPUTED_VALUE"""),"グラビテイション")</f>
        <v>グラビテイション</v>
      </c>
      <c r="C275" s="3" t="str">
        <f ca="1">IFERROR(__xludf.DUMMYFUNCTION("""COMPUTED_VALUE"""),"山")</f>
        <v>山</v>
      </c>
      <c r="D275" s="3">
        <f ca="1">IFERROR(__xludf.DUMMYFUNCTION("""COMPUTED_VALUE"""),70)</f>
        <v>70</v>
      </c>
      <c r="E275" s="3">
        <f ca="1">IFERROR(__xludf.DUMMYFUNCTION("""COMPUTED_VALUE"""),70)</f>
        <v>70</v>
      </c>
      <c r="F275" s="3" t="str">
        <f ca="1">IFERROR(__xludf.DUMMYFUNCTION("""COMPUTED_VALUE"""),"クロニクル百貨店")</f>
        <v>クロニクル百貨店</v>
      </c>
      <c r="G275" s="3" t="str">
        <f ca="1">IFERROR(__xludf.DUMMYFUNCTION("""COMPUTED_VALUE"""),"シュートブロック")</f>
        <v>シュートブロック</v>
      </c>
    </row>
    <row r="276" spans="1:7" x14ac:dyDescent="0.25">
      <c r="A276" s="3" t="str">
        <f ca="1">IFERROR(__xludf.DUMMYFUNCTION("""COMPUTED_VALUE"""),"ディフェンス技")</f>
        <v>ディフェンス技</v>
      </c>
      <c r="B276" s="3" t="str">
        <f ca="1">IFERROR(__xludf.DUMMYFUNCTION("""COMPUTED_VALUE"""),"ダブルサイクロン")</f>
        <v>ダブルサイクロン</v>
      </c>
      <c r="C276" s="3" t="str">
        <f ca="1">IFERROR(__xludf.DUMMYFUNCTION("""COMPUTED_VALUE"""),"風")</f>
        <v>風</v>
      </c>
      <c r="D276" s="3">
        <f ca="1">IFERROR(__xludf.DUMMYFUNCTION("""COMPUTED_VALUE"""),70)</f>
        <v>70</v>
      </c>
      <c r="E276" s="3">
        <f ca="1">IFERROR(__xludf.DUMMYFUNCTION("""COMPUTED_VALUE"""),70)</f>
        <v>70</v>
      </c>
      <c r="F276" s="3" t="str">
        <f ca="1">IFERROR(__xludf.DUMMYFUNCTION("""COMPUTED_VALUE"""),"特訓ショップ")</f>
        <v>特訓ショップ</v>
      </c>
      <c r="G276" s="3"/>
    </row>
    <row r="277" spans="1:7" x14ac:dyDescent="0.25">
      <c r="A277" s="3" t="str">
        <f ca="1">IFERROR(__xludf.DUMMYFUNCTION("""COMPUTED_VALUE"""),"ディフェンス技")</f>
        <v>ディフェンス技</v>
      </c>
      <c r="B277" s="3" t="str">
        <f ca="1">IFERROR(__xludf.DUMMYFUNCTION("""COMPUTED_VALUE"""),"フレイムダンス")</f>
        <v>フレイムダンス</v>
      </c>
      <c r="C277" s="3" t="str">
        <f ca="1">IFERROR(__xludf.DUMMYFUNCTION("""COMPUTED_VALUE"""),"火")</f>
        <v>火</v>
      </c>
      <c r="D277" s="3">
        <f ca="1">IFERROR(__xludf.DUMMYFUNCTION("""COMPUTED_VALUE"""),70)</f>
        <v>70</v>
      </c>
      <c r="E277" s="3">
        <f ca="1">IFERROR(__xludf.DUMMYFUNCTION("""COMPUTED_VALUE"""),70)</f>
        <v>70</v>
      </c>
      <c r="F277" s="3" t="str">
        <f ca="1">IFERROR(__xludf.DUMMYFUNCTION("""COMPUTED_VALUE"""),"VSストア")</f>
        <v>VSストア</v>
      </c>
      <c r="G277" s="3"/>
    </row>
    <row r="278" spans="1:7" x14ac:dyDescent="0.25">
      <c r="A278" s="3" t="str">
        <f ca="1">IFERROR(__xludf.DUMMYFUNCTION("""COMPUTED_VALUE"""),"ディフェンス技")</f>
        <v>ディフェンス技</v>
      </c>
      <c r="B278" s="3" t="str">
        <f ca="1">IFERROR(__xludf.DUMMYFUNCTION("""COMPUTED_VALUE"""),"アステロイドベルト")</f>
        <v>アステロイドベルト</v>
      </c>
      <c r="C278" s="3" t="str">
        <f ca="1">IFERROR(__xludf.DUMMYFUNCTION("""COMPUTED_VALUE"""),"林")</f>
        <v>林</v>
      </c>
      <c r="D278" s="3">
        <f ca="1">IFERROR(__xludf.DUMMYFUNCTION("""COMPUTED_VALUE"""),70)</f>
        <v>70</v>
      </c>
      <c r="E278" s="3">
        <f ca="1">IFERROR(__xludf.DUMMYFUNCTION("""COMPUTED_VALUE"""),70)</f>
        <v>70</v>
      </c>
      <c r="F278" s="3" t="str">
        <f ca="1">IFERROR(__xludf.DUMMYFUNCTION("""COMPUTED_VALUE"""),"クロニクル百貨店")</f>
        <v>クロニクル百貨店</v>
      </c>
      <c r="G278" s="3" t="str">
        <f ca="1">IFERROR(__xludf.DUMMYFUNCTION("""COMPUTED_VALUE"""),"シュートブロック")</f>
        <v>シュートブロック</v>
      </c>
    </row>
    <row r="279" spans="1:7" x14ac:dyDescent="0.25">
      <c r="A279" s="3" t="str">
        <f ca="1">IFERROR(__xludf.DUMMYFUNCTION("""COMPUTED_VALUE"""),"ディフェンス技")</f>
        <v>ディフェンス技</v>
      </c>
      <c r="B279" s="3" t="str">
        <f ca="1">IFERROR(__xludf.DUMMYFUNCTION("""COMPUTED_VALUE"""),"デーモンカット")</f>
        <v>デーモンカット</v>
      </c>
      <c r="C279" s="3" t="str">
        <f ca="1">IFERROR(__xludf.DUMMYFUNCTION("""COMPUTED_VALUE"""),"林")</f>
        <v>林</v>
      </c>
      <c r="D279" s="3">
        <f ca="1">IFERROR(__xludf.DUMMYFUNCTION("""COMPUTED_VALUE"""),70)</f>
        <v>70</v>
      </c>
      <c r="E279" s="3">
        <f ca="1">IFERROR(__xludf.DUMMYFUNCTION("""COMPUTED_VALUE"""),70)</f>
        <v>70</v>
      </c>
      <c r="F279" s="3" t="str">
        <f ca="1">IFERROR(__xludf.DUMMYFUNCTION("""COMPUTED_VALUE"""),"秘宝堂")</f>
        <v>秘宝堂</v>
      </c>
      <c r="G279" s="3" t="str">
        <f ca="1">IFERROR(__xludf.DUMMYFUNCTION("""COMPUTED_VALUE"""),"シュートブロック")</f>
        <v>シュートブロック</v>
      </c>
    </row>
    <row r="280" spans="1:7" x14ac:dyDescent="0.25">
      <c r="A280" s="3" t="str">
        <f ca="1">IFERROR(__xludf.DUMMYFUNCTION("""COMPUTED_VALUE"""),"ディフェンス技")</f>
        <v>ディフェンス技</v>
      </c>
      <c r="B280" s="3" t="str">
        <f ca="1">IFERROR(__xludf.DUMMYFUNCTION("""COMPUTED_VALUE"""),"アイアンウォール")</f>
        <v>アイアンウォール</v>
      </c>
      <c r="C280" s="3" t="str">
        <f ca="1">IFERROR(__xludf.DUMMYFUNCTION("""COMPUTED_VALUE"""),"山")</f>
        <v>山</v>
      </c>
      <c r="D280" s="3">
        <f ca="1">IFERROR(__xludf.DUMMYFUNCTION("""COMPUTED_VALUE"""),70)</f>
        <v>70</v>
      </c>
      <c r="E280" s="3">
        <f ca="1">IFERROR(__xludf.DUMMYFUNCTION("""COMPUTED_VALUE"""),70)</f>
        <v>70</v>
      </c>
      <c r="F280" s="3" t="str">
        <f ca="1">IFERROR(__xludf.DUMMYFUNCTION("""COMPUTED_VALUE"""),"VSストア")</f>
        <v>VSストア</v>
      </c>
      <c r="G280" s="3" t="str">
        <f ca="1">IFERROR(__xludf.DUMMYFUNCTION("""COMPUTED_VALUE"""),"シュートブロック")</f>
        <v>シュートブロック</v>
      </c>
    </row>
    <row r="281" spans="1:7" x14ac:dyDescent="0.25">
      <c r="A281" s="3" t="str">
        <f ca="1">IFERROR(__xludf.DUMMYFUNCTION("""COMPUTED_VALUE"""),"ディフェンス技")</f>
        <v>ディフェンス技</v>
      </c>
      <c r="B281" s="3" t="str">
        <f ca="1">IFERROR(__xludf.DUMMYFUNCTION("""COMPUTED_VALUE"""),"真空魔")</f>
        <v>真空魔</v>
      </c>
      <c r="C281" s="3" t="str">
        <f ca="1">IFERROR(__xludf.DUMMYFUNCTION("""COMPUTED_VALUE"""),"風")</f>
        <v>風</v>
      </c>
      <c r="D281" s="3">
        <f ca="1">IFERROR(__xludf.DUMMYFUNCTION("""COMPUTED_VALUE"""),70)</f>
        <v>70</v>
      </c>
      <c r="E281" s="3">
        <f ca="1">IFERROR(__xludf.DUMMYFUNCTION("""COMPUTED_VALUE"""),70)</f>
        <v>70</v>
      </c>
      <c r="F281" s="3" t="str">
        <f ca="1">IFERROR(__xludf.DUMMYFUNCTION("""COMPUTED_VALUE"""),"クロニクル百貨店")</f>
        <v>クロニクル百貨店</v>
      </c>
      <c r="G281" s="3" t="str">
        <f ca="1">IFERROR(__xludf.DUMMYFUNCTION("""COMPUTED_VALUE"""),"シュートブロック")</f>
        <v>シュートブロック</v>
      </c>
    </row>
    <row r="282" spans="1:7" x14ac:dyDescent="0.25">
      <c r="A282" s="3" t="str">
        <f ca="1">IFERROR(__xludf.DUMMYFUNCTION("""COMPUTED_VALUE"""),"ディフェンス技")</f>
        <v>ディフェンス技</v>
      </c>
      <c r="B282" s="3" t="str">
        <f ca="1">IFERROR(__xludf.DUMMYFUNCTION("""COMPUTED_VALUE"""),"ザ・マウンテン")</f>
        <v>ザ・マウンテン</v>
      </c>
      <c r="C282" s="3" t="str">
        <f ca="1">IFERROR(__xludf.DUMMYFUNCTION("""COMPUTED_VALUE"""),"山")</f>
        <v>山</v>
      </c>
      <c r="D282" s="3">
        <f ca="1">IFERROR(__xludf.DUMMYFUNCTION("""COMPUTED_VALUE"""),70)</f>
        <v>70</v>
      </c>
      <c r="E282" s="3">
        <f ca="1">IFERROR(__xludf.DUMMYFUNCTION("""COMPUTED_VALUE"""),70)</f>
        <v>70</v>
      </c>
      <c r="F282" s="3" t="str">
        <f ca="1">IFERROR(__xludf.DUMMYFUNCTION("""COMPUTED_VALUE"""),"クロニクル百貨店")</f>
        <v>クロニクル百貨店</v>
      </c>
      <c r="G282" s="3" t="str">
        <f ca="1">IFERROR(__xludf.DUMMYFUNCTION("""COMPUTED_VALUE"""),"シュートブロック")</f>
        <v>シュートブロック</v>
      </c>
    </row>
    <row r="283" spans="1:7" x14ac:dyDescent="0.25">
      <c r="A283" s="3" t="str">
        <f ca="1">IFERROR(__xludf.DUMMYFUNCTION("""COMPUTED_VALUE"""),"ディフェンス技")</f>
        <v>ディフェンス技</v>
      </c>
      <c r="B283" s="3" t="str">
        <f ca="1">IFERROR(__xludf.DUMMYFUNCTION("""COMPUTED_VALUE"""),"ゴー・トゥ・ヘブン")</f>
        <v>ゴー・トゥ・ヘブン</v>
      </c>
      <c r="C283" s="3" t="str">
        <f ca="1">IFERROR(__xludf.DUMMYFUNCTION("""COMPUTED_VALUE"""),"風")</f>
        <v>風</v>
      </c>
      <c r="D283" s="3">
        <f ca="1">IFERROR(__xludf.DUMMYFUNCTION("""COMPUTED_VALUE"""),70)</f>
        <v>70</v>
      </c>
      <c r="E283" s="3">
        <f ca="1">IFERROR(__xludf.DUMMYFUNCTION("""COMPUTED_VALUE"""),70)</f>
        <v>70</v>
      </c>
      <c r="F283" s="3" t="str">
        <f ca="1">IFERROR(__xludf.DUMMYFUNCTION("""COMPUTED_VALUE"""),"VSストア")</f>
        <v>VSストア</v>
      </c>
      <c r="G283" s="3"/>
    </row>
    <row r="284" spans="1:7" x14ac:dyDescent="0.25">
      <c r="A284" s="3" t="str">
        <f ca="1">IFERROR(__xludf.DUMMYFUNCTION("""COMPUTED_VALUE"""),"ディフェンス技")</f>
        <v>ディフェンス技</v>
      </c>
      <c r="B284" s="3" t="str">
        <f ca="1">IFERROR(__xludf.DUMMYFUNCTION("""COMPUTED_VALUE"""),"ゴー・トゥ・ヘル")</f>
        <v>ゴー・トゥ・ヘル</v>
      </c>
      <c r="C284" s="3" t="str">
        <f ca="1">IFERROR(__xludf.DUMMYFUNCTION("""COMPUTED_VALUE"""),"林")</f>
        <v>林</v>
      </c>
      <c r="D284" s="3">
        <f ca="1">IFERROR(__xludf.DUMMYFUNCTION("""COMPUTED_VALUE"""),70)</f>
        <v>70</v>
      </c>
      <c r="E284" s="3">
        <f ca="1">IFERROR(__xludf.DUMMYFUNCTION("""COMPUTED_VALUE"""),70)</f>
        <v>70</v>
      </c>
      <c r="F284" s="3" t="str">
        <f ca="1">IFERROR(__xludf.DUMMYFUNCTION("""COMPUTED_VALUE"""),"VSストア")</f>
        <v>VSストア</v>
      </c>
      <c r="G284" s="3"/>
    </row>
    <row r="285" spans="1:7" x14ac:dyDescent="0.25">
      <c r="A285" s="3" t="str">
        <f ca="1">IFERROR(__xludf.DUMMYFUNCTION("""COMPUTED_VALUE"""),"ディフェンス技")</f>
        <v>ディフェンス技</v>
      </c>
      <c r="B285" s="3" t="str">
        <f ca="1">IFERROR(__xludf.DUMMYFUNCTION("""COMPUTED_VALUE"""),"かっとびディフェンス")</f>
        <v>かっとびディフェンス</v>
      </c>
      <c r="C285" s="3" t="str">
        <f ca="1">IFERROR(__xludf.DUMMYFUNCTION("""COMPUTED_VALUE"""),"山")</f>
        <v>山</v>
      </c>
      <c r="D285" s="3">
        <f ca="1">IFERROR(__xludf.DUMMYFUNCTION("""COMPUTED_VALUE"""),70)</f>
        <v>70</v>
      </c>
      <c r="E285" s="3">
        <f ca="1">IFERROR(__xludf.DUMMYFUNCTION("""COMPUTED_VALUE"""),70)</f>
        <v>70</v>
      </c>
      <c r="F285" s="3" t="str">
        <f ca="1">IFERROR(__xludf.DUMMYFUNCTION("""COMPUTED_VALUE"""),"クロニクル百貨店")</f>
        <v>クロニクル百貨店</v>
      </c>
      <c r="G285" s="3" t="str">
        <f ca="1">IFERROR(__xludf.DUMMYFUNCTION("""COMPUTED_VALUE"""),"シュートブロック")</f>
        <v>シュートブロック</v>
      </c>
    </row>
    <row r="286" spans="1:7" x14ac:dyDescent="0.25">
      <c r="A286" s="3" t="str">
        <f ca="1">IFERROR(__xludf.DUMMYFUNCTION("""COMPUTED_VALUE"""),"ディフェンス技")</f>
        <v>ディフェンス技</v>
      </c>
      <c r="B286" s="3" t="str">
        <f ca="1">IFERROR(__xludf.DUMMYFUNCTION("""COMPUTED_VALUE"""),"エレファントプレス")</f>
        <v>エレファントプレス</v>
      </c>
      <c r="C286" s="3" t="str">
        <f ca="1">IFERROR(__xludf.DUMMYFUNCTION("""COMPUTED_VALUE"""),"山")</f>
        <v>山</v>
      </c>
      <c r="D286" s="3">
        <f ca="1">IFERROR(__xludf.DUMMYFUNCTION("""COMPUTED_VALUE"""),70)</f>
        <v>70</v>
      </c>
      <c r="E286" s="3">
        <f ca="1">IFERROR(__xludf.DUMMYFUNCTION("""COMPUTED_VALUE"""),70)</f>
        <v>70</v>
      </c>
      <c r="F286" s="3" t="str">
        <f ca="1">IFERROR(__xludf.DUMMYFUNCTION("""COMPUTED_VALUE"""),"秘宝堂")</f>
        <v>秘宝堂</v>
      </c>
      <c r="G286" s="3"/>
    </row>
    <row r="287" spans="1:7" x14ac:dyDescent="0.25">
      <c r="A287" s="3" t="str">
        <f ca="1">IFERROR(__xludf.DUMMYFUNCTION("""COMPUTED_VALUE"""),"ディフェンス技")</f>
        <v>ディフェンス技</v>
      </c>
      <c r="B287" s="3" t="str">
        <f ca="1">IFERROR(__xludf.DUMMYFUNCTION("""COMPUTED_VALUE"""),"バニシングカット")</f>
        <v>バニシングカット</v>
      </c>
      <c r="C287" s="3" t="str">
        <f ca="1">IFERROR(__xludf.DUMMYFUNCTION("""COMPUTED_VALUE"""),"無")</f>
        <v>無</v>
      </c>
      <c r="D287" s="3">
        <f ca="1">IFERROR(__xludf.DUMMYFUNCTION("""COMPUTED_VALUE"""),70)</f>
        <v>70</v>
      </c>
      <c r="E287" s="3">
        <f ca="1">IFERROR(__xludf.DUMMYFUNCTION("""COMPUTED_VALUE"""),70)</f>
        <v>70</v>
      </c>
      <c r="F287" s="3" t="str">
        <f ca="1">IFERROR(__xludf.DUMMYFUNCTION("""COMPUTED_VALUE"""),"特訓ショップ")</f>
        <v>特訓ショップ</v>
      </c>
      <c r="G287" s="3"/>
    </row>
    <row r="288" spans="1:7" x14ac:dyDescent="0.25">
      <c r="A288" s="3" t="str">
        <f ca="1">IFERROR(__xludf.DUMMYFUNCTION("""COMPUTED_VALUE"""),"ディフェンス技")</f>
        <v>ディフェンス技</v>
      </c>
      <c r="B288" s="3" t="str">
        <f ca="1">IFERROR(__xludf.DUMMYFUNCTION("""COMPUTED_VALUE"""),"ディープミスト")</f>
        <v>ディープミスト</v>
      </c>
      <c r="C288" s="3" t="str">
        <f ca="1">IFERROR(__xludf.DUMMYFUNCTION("""COMPUTED_VALUE"""),"林")</f>
        <v>林</v>
      </c>
      <c r="D288" s="3">
        <f ca="1">IFERROR(__xludf.DUMMYFUNCTION("""COMPUTED_VALUE"""),70)</f>
        <v>70</v>
      </c>
      <c r="E288" s="3">
        <f ca="1">IFERROR(__xludf.DUMMYFUNCTION("""COMPUTED_VALUE"""),70)</f>
        <v>70</v>
      </c>
      <c r="F288" s="3" t="str">
        <f ca="1">IFERROR(__xludf.DUMMYFUNCTION("""COMPUTED_VALUE"""),"クロニクル百貨店")</f>
        <v>クロニクル百貨店</v>
      </c>
      <c r="G288" s="3" t="str">
        <f ca="1">IFERROR(__xludf.DUMMYFUNCTION("""COMPUTED_VALUE"""),"シュートブロック")</f>
        <v>シュートブロック</v>
      </c>
    </row>
    <row r="289" spans="1:7" x14ac:dyDescent="0.25">
      <c r="A289" s="3" t="str">
        <f ca="1">IFERROR(__xludf.DUMMYFUNCTION("""COMPUTED_VALUE"""),"ディフェンス技")</f>
        <v>ディフェンス技</v>
      </c>
      <c r="B289" s="3" t="str">
        <f ca="1">IFERROR(__xludf.DUMMYFUNCTION("""COMPUTED_VALUE"""),"アトランティスウォール")</f>
        <v>アトランティスウォール</v>
      </c>
      <c r="C289" s="3" t="str">
        <f ca="1">IFERROR(__xludf.DUMMYFUNCTION("""COMPUTED_VALUE"""),"山")</f>
        <v>山</v>
      </c>
      <c r="D289" s="3">
        <f ca="1">IFERROR(__xludf.DUMMYFUNCTION("""COMPUTED_VALUE"""),70)</f>
        <v>70</v>
      </c>
      <c r="E289" s="3">
        <f ca="1">IFERROR(__xludf.DUMMYFUNCTION("""COMPUTED_VALUE"""),70)</f>
        <v>70</v>
      </c>
      <c r="F289" s="3" t="str">
        <f ca="1">IFERROR(__xludf.DUMMYFUNCTION("""COMPUTED_VALUE"""),"クロニクル百貨店")</f>
        <v>クロニクル百貨店</v>
      </c>
      <c r="G289" s="3" t="str">
        <f ca="1">IFERROR(__xludf.DUMMYFUNCTION("""COMPUTED_VALUE"""),"シュートブロック")</f>
        <v>シュートブロック</v>
      </c>
    </row>
    <row r="290" spans="1:7" x14ac:dyDescent="0.25">
      <c r="A290" s="3" t="str">
        <f ca="1">IFERROR(__xludf.DUMMYFUNCTION("""COMPUTED_VALUE"""),"ディフェンス技")</f>
        <v>ディフェンス技</v>
      </c>
      <c r="B290" s="3" t="str">
        <f ca="1">IFERROR(__xludf.DUMMYFUNCTION("""COMPUTED_VALUE"""),"フラクタルハウス")</f>
        <v>フラクタルハウス</v>
      </c>
      <c r="C290" s="3" t="str">
        <f ca="1">IFERROR(__xludf.DUMMYFUNCTION("""COMPUTED_VALUE"""),"山")</f>
        <v>山</v>
      </c>
      <c r="D290" s="3">
        <f ca="1">IFERROR(__xludf.DUMMYFUNCTION("""COMPUTED_VALUE"""),70)</f>
        <v>70</v>
      </c>
      <c r="E290" s="3">
        <f ca="1">IFERROR(__xludf.DUMMYFUNCTION("""COMPUTED_VALUE"""),70)</f>
        <v>70</v>
      </c>
      <c r="F290" s="3" t="str">
        <f ca="1">IFERROR(__xludf.DUMMYFUNCTION("""COMPUTED_VALUE"""),"秘宝堂")</f>
        <v>秘宝堂</v>
      </c>
      <c r="G290" s="3"/>
    </row>
    <row r="291" spans="1:7" x14ac:dyDescent="0.25">
      <c r="A291" s="3" t="str">
        <f ca="1">IFERROR(__xludf.DUMMYFUNCTION("""COMPUTED_VALUE"""),"ディフェンス技")</f>
        <v>ディフェンス技</v>
      </c>
      <c r="B291" s="3" t="str">
        <f ca="1">IFERROR(__xludf.DUMMYFUNCTION("""COMPUTED_VALUE"""),"海神・ザ・クェイク")</f>
        <v>海神・ザ・クェイク</v>
      </c>
      <c r="C291" s="3" t="str">
        <f ca="1">IFERROR(__xludf.DUMMYFUNCTION("""COMPUTED_VALUE"""),"風")</f>
        <v>風</v>
      </c>
      <c r="D291" s="3">
        <f ca="1">IFERROR(__xludf.DUMMYFUNCTION("""COMPUTED_VALUE"""),70)</f>
        <v>70</v>
      </c>
      <c r="E291" s="3">
        <f ca="1">IFERROR(__xludf.DUMMYFUNCTION("""COMPUTED_VALUE"""),70)</f>
        <v>70</v>
      </c>
      <c r="F291" s="3" t="str">
        <f ca="1">IFERROR(__xludf.DUMMYFUNCTION("""COMPUTED_VALUE"""),"特訓ショップ")</f>
        <v>特訓ショップ</v>
      </c>
      <c r="G291" s="3"/>
    </row>
    <row r="292" spans="1:7" x14ac:dyDescent="0.25">
      <c r="A292" s="3" t="str">
        <f ca="1">IFERROR(__xludf.DUMMYFUNCTION("""COMPUTED_VALUE"""),"ディフェンス技")</f>
        <v>ディフェンス技</v>
      </c>
      <c r="B292" s="3" t="str">
        <f ca="1">IFERROR(__xludf.DUMMYFUNCTION("""COMPUTED_VALUE"""),"ザ・ウォール")</f>
        <v>ザ・ウォール</v>
      </c>
      <c r="C292" s="3" t="str">
        <f ca="1">IFERROR(__xludf.DUMMYFUNCTION("""COMPUTED_VALUE"""),"山")</f>
        <v>山</v>
      </c>
      <c r="D292" s="3">
        <f ca="1">IFERROR(__xludf.DUMMYFUNCTION("""COMPUTED_VALUE"""),60)</f>
        <v>60</v>
      </c>
      <c r="E292" s="3">
        <f ca="1">IFERROR(__xludf.DUMMYFUNCTION("""COMPUTED_VALUE"""),60)</f>
        <v>60</v>
      </c>
      <c r="F292" s="3" t="str">
        <f ca="1">IFERROR(__xludf.DUMMYFUNCTION("""COMPUTED_VALUE"""),"クロニクル百貨店")</f>
        <v>クロニクル百貨店</v>
      </c>
      <c r="G292" s="3" t="str">
        <f ca="1">IFERROR(__xludf.DUMMYFUNCTION("""COMPUTED_VALUE"""),"シュートブロック")</f>
        <v>シュートブロック</v>
      </c>
    </row>
    <row r="293" spans="1:7" x14ac:dyDescent="0.25">
      <c r="A293" s="3" t="str">
        <f ca="1">IFERROR(__xludf.DUMMYFUNCTION("""COMPUTED_VALUE"""),"ディフェンス技")</f>
        <v>ディフェンス技</v>
      </c>
      <c r="B293" s="3" t="str">
        <f ca="1">IFERROR(__xludf.DUMMYFUNCTION("""COMPUTED_VALUE"""),"蜘蛛の糸")</f>
        <v>蜘蛛の糸</v>
      </c>
      <c r="C293" s="3" t="str">
        <f ca="1">IFERROR(__xludf.DUMMYFUNCTION("""COMPUTED_VALUE"""),"林")</f>
        <v>林</v>
      </c>
      <c r="D293" s="3">
        <f ca="1">IFERROR(__xludf.DUMMYFUNCTION("""COMPUTED_VALUE"""),60)</f>
        <v>60</v>
      </c>
      <c r="E293" s="3">
        <f ca="1">IFERROR(__xludf.DUMMYFUNCTION("""COMPUTED_VALUE"""),60)</f>
        <v>60</v>
      </c>
      <c r="F293" s="3" t="str">
        <f ca="1">IFERROR(__xludf.DUMMYFUNCTION("""COMPUTED_VALUE"""),"VSストア")</f>
        <v>VSストア</v>
      </c>
      <c r="G293" s="3"/>
    </row>
    <row r="294" spans="1:7" x14ac:dyDescent="0.25">
      <c r="A294" s="3" t="str">
        <f ca="1">IFERROR(__xludf.DUMMYFUNCTION("""COMPUTED_VALUE"""),"ディフェンス技")</f>
        <v>ディフェンス技</v>
      </c>
      <c r="B294" s="3" t="str">
        <f ca="1">IFERROR(__xludf.DUMMYFUNCTION("""COMPUTED_VALUE"""),"サイクロン")</f>
        <v>サイクロン</v>
      </c>
      <c r="C294" s="3" t="str">
        <f ca="1">IFERROR(__xludf.DUMMYFUNCTION("""COMPUTED_VALUE"""),"風")</f>
        <v>風</v>
      </c>
      <c r="D294" s="3">
        <f ca="1">IFERROR(__xludf.DUMMYFUNCTION("""COMPUTED_VALUE"""),60)</f>
        <v>60</v>
      </c>
      <c r="E294" s="3">
        <f ca="1">IFERROR(__xludf.DUMMYFUNCTION("""COMPUTED_VALUE"""),60)</f>
        <v>60</v>
      </c>
      <c r="F294" s="3" t="str">
        <f ca="1">IFERROR(__xludf.DUMMYFUNCTION("""COMPUTED_VALUE"""),"VSストア")</f>
        <v>VSストア</v>
      </c>
      <c r="G294" s="3"/>
    </row>
    <row r="295" spans="1:7" x14ac:dyDescent="0.25">
      <c r="A295" s="3" t="str">
        <f ca="1">IFERROR(__xludf.DUMMYFUNCTION("""COMPUTED_VALUE"""),"ディフェンス技")</f>
        <v>ディフェンス技</v>
      </c>
      <c r="B295" s="3" t="str">
        <f ca="1">IFERROR(__xludf.DUMMYFUNCTION("""COMPUTED_VALUE"""),"影縫い")</f>
        <v>影縫い</v>
      </c>
      <c r="C295" s="3" t="str">
        <f ca="1">IFERROR(__xludf.DUMMYFUNCTION("""COMPUTED_VALUE"""),"林")</f>
        <v>林</v>
      </c>
      <c r="D295" s="3">
        <f ca="1">IFERROR(__xludf.DUMMYFUNCTION("""COMPUTED_VALUE"""),60)</f>
        <v>60</v>
      </c>
      <c r="E295" s="3">
        <f ca="1">IFERROR(__xludf.DUMMYFUNCTION("""COMPUTED_VALUE"""),60)</f>
        <v>60</v>
      </c>
      <c r="F295" s="3" t="str">
        <f ca="1">IFERROR(__xludf.DUMMYFUNCTION("""COMPUTED_VALUE"""),"VSストア")</f>
        <v>VSストア</v>
      </c>
      <c r="G295" s="3"/>
    </row>
    <row r="296" spans="1:7" x14ac:dyDescent="0.25">
      <c r="A296" s="3" t="str">
        <f ca="1">IFERROR(__xludf.DUMMYFUNCTION("""COMPUTED_VALUE"""),"ディフェンス技")</f>
        <v>ディフェンス技</v>
      </c>
      <c r="B296" s="3" t="str">
        <f ca="1">IFERROR(__xludf.DUMMYFUNCTION("""COMPUTED_VALUE"""),"ハリケーンアロー")</f>
        <v>ハリケーンアロー</v>
      </c>
      <c r="C296" s="3" t="str">
        <f ca="1">IFERROR(__xludf.DUMMYFUNCTION("""COMPUTED_VALUE"""),"風")</f>
        <v>風</v>
      </c>
      <c r="D296" s="3">
        <f ca="1">IFERROR(__xludf.DUMMYFUNCTION("""COMPUTED_VALUE"""),60)</f>
        <v>60</v>
      </c>
      <c r="E296" s="3">
        <f ca="1">IFERROR(__xludf.DUMMYFUNCTION("""COMPUTED_VALUE"""),60)</f>
        <v>60</v>
      </c>
      <c r="F296" s="3" t="str">
        <f ca="1">IFERROR(__xludf.DUMMYFUNCTION("""COMPUTED_VALUE"""),"特訓ショップ")</f>
        <v>特訓ショップ</v>
      </c>
      <c r="G296" s="3"/>
    </row>
    <row r="297" spans="1:7" x14ac:dyDescent="0.25">
      <c r="A297" s="3" t="str">
        <f ca="1">IFERROR(__xludf.DUMMYFUNCTION("""COMPUTED_VALUE"""),"ディフェンス技")</f>
        <v>ディフェンス技</v>
      </c>
      <c r="B297" s="3" t="str">
        <f ca="1">IFERROR(__xludf.DUMMYFUNCTION("""COMPUTED_VALUE"""),"怨霊")</f>
        <v>怨霊</v>
      </c>
      <c r="C297" s="3" t="str">
        <f ca="1">IFERROR(__xludf.DUMMYFUNCTION("""COMPUTED_VALUE"""),"林")</f>
        <v>林</v>
      </c>
      <c r="D297" s="3">
        <f ca="1">IFERROR(__xludf.DUMMYFUNCTION("""COMPUTED_VALUE"""),60)</f>
        <v>60</v>
      </c>
      <c r="E297" s="3">
        <f ca="1">IFERROR(__xludf.DUMMYFUNCTION("""COMPUTED_VALUE"""),60)</f>
        <v>60</v>
      </c>
      <c r="F297" s="3" t="str">
        <f ca="1">IFERROR(__xludf.DUMMYFUNCTION("""COMPUTED_VALUE"""),"クロニクル百貨店")</f>
        <v>クロニクル百貨店</v>
      </c>
      <c r="G297" s="3"/>
    </row>
    <row r="298" spans="1:7" x14ac:dyDescent="0.25">
      <c r="A298" s="3" t="str">
        <f ca="1">IFERROR(__xludf.DUMMYFUNCTION("""COMPUTED_VALUE"""),"ディフェンス技")</f>
        <v>ディフェンス技</v>
      </c>
      <c r="B298" s="3" t="str">
        <f ca="1">IFERROR(__xludf.DUMMYFUNCTION("""COMPUTED_VALUE"""),"ハーヴェスト")</f>
        <v>ハーヴェスト</v>
      </c>
      <c r="C298" s="3" t="str">
        <f ca="1">IFERROR(__xludf.DUMMYFUNCTION("""COMPUTED_VALUE"""),"林")</f>
        <v>林</v>
      </c>
      <c r="D298" s="3">
        <f ca="1">IFERROR(__xludf.DUMMYFUNCTION("""COMPUTED_VALUE"""),60)</f>
        <v>60</v>
      </c>
      <c r="E298" s="3">
        <f ca="1">IFERROR(__xludf.DUMMYFUNCTION("""COMPUTED_VALUE"""),60)</f>
        <v>60</v>
      </c>
      <c r="F298" s="3" t="str">
        <f ca="1">IFERROR(__xludf.DUMMYFUNCTION("""COMPUTED_VALUE"""),"秘宝堂")</f>
        <v>秘宝堂</v>
      </c>
      <c r="G298" s="3"/>
    </row>
    <row r="299" spans="1:7" x14ac:dyDescent="0.25">
      <c r="A299" s="3" t="str">
        <f ca="1">IFERROR(__xludf.DUMMYFUNCTION("""COMPUTED_VALUE"""),"ディフェンス技")</f>
        <v>ディフェンス技</v>
      </c>
      <c r="B299" s="3" t="str">
        <f ca="1">IFERROR(__xludf.DUMMYFUNCTION("""COMPUTED_VALUE"""),"シューティングスター")</f>
        <v>シューティングスター</v>
      </c>
      <c r="C299" s="3" t="str">
        <f ca="1">IFERROR(__xludf.DUMMYFUNCTION("""COMPUTED_VALUE"""),"火")</f>
        <v>火</v>
      </c>
      <c r="D299" s="3">
        <f ca="1">IFERROR(__xludf.DUMMYFUNCTION("""COMPUTED_VALUE"""),60)</f>
        <v>60</v>
      </c>
      <c r="E299" s="3">
        <f ca="1">IFERROR(__xludf.DUMMYFUNCTION("""COMPUTED_VALUE"""),60)</f>
        <v>60</v>
      </c>
      <c r="F299" s="3" t="str">
        <f ca="1">IFERROR(__xludf.DUMMYFUNCTION("""COMPUTED_VALUE"""),"秘宝堂")</f>
        <v>秘宝堂</v>
      </c>
      <c r="G299" s="3" t="str">
        <f ca="1">IFERROR(__xludf.DUMMYFUNCTION("""COMPUTED_VALUE"""),"シュートブロック")</f>
        <v>シュートブロック</v>
      </c>
    </row>
    <row r="300" spans="1:7" x14ac:dyDescent="0.25">
      <c r="A300" s="3" t="str">
        <f ca="1">IFERROR(__xludf.DUMMYFUNCTION("""COMPUTED_VALUE"""),"ディフェンス技")</f>
        <v>ディフェンス技</v>
      </c>
      <c r="B300" s="3" t="str">
        <f ca="1">IFERROR(__xludf.DUMMYFUNCTION("""COMPUTED_VALUE"""),"アイスグランド")</f>
        <v>アイスグランド</v>
      </c>
      <c r="C300" s="3" t="str">
        <f ca="1">IFERROR(__xludf.DUMMYFUNCTION("""COMPUTED_VALUE"""),"風")</f>
        <v>風</v>
      </c>
      <c r="D300" s="3">
        <f ca="1">IFERROR(__xludf.DUMMYFUNCTION("""COMPUTED_VALUE"""),60)</f>
        <v>60</v>
      </c>
      <c r="E300" s="3">
        <f ca="1">IFERROR(__xludf.DUMMYFUNCTION("""COMPUTED_VALUE"""),60)</f>
        <v>60</v>
      </c>
      <c r="F300" s="3" t="str">
        <f ca="1">IFERROR(__xludf.DUMMYFUNCTION("""COMPUTED_VALUE"""),"秘宝堂")</f>
        <v>秘宝堂</v>
      </c>
      <c r="G300" s="3"/>
    </row>
    <row r="301" spans="1:7" x14ac:dyDescent="0.25">
      <c r="A301" s="3" t="str">
        <f ca="1">IFERROR(__xludf.DUMMYFUNCTION("""COMPUTED_VALUE"""),"ディフェンス技")</f>
        <v>ディフェンス技</v>
      </c>
      <c r="B301" s="3" t="str">
        <f ca="1">IFERROR(__xludf.DUMMYFUNCTION("""COMPUTED_VALUE"""),"分身ディフェンス")</f>
        <v>分身ディフェンス</v>
      </c>
      <c r="C301" s="3" t="str">
        <f ca="1">IFERROR(__xludf.DUMMYFUNCTION("""COMPUTED_VALUE"""),"林")</f>
        <v>林</v>
      </c>
      <c r="D301" s="3">
        <f ca="1">IFERROR(__xludf.DUMMYFUNCTION("""COMPUTED_VALUE"""),60)</f>
        <v>60</v>
      </c>
      <c r="E301" s="3">
        <f ca="1">IFERROR(__xludf.DUMMYFUNCTION("""COMPUTED_VALUE"""),60)</f>
        <v>60</v>
      </c>
      <c r="F301" s="3" t="str">
        <f ca="1">IFERROR(__xludf.DUMMYFUNCTION("""COMPUTED_VALUE"""),"クロニクル百貨店")</f>
        <v>クロニクル百貨店</v>
      </c>
      <c r="G301" s="3"/>
    </row>
    <row r="302" spans="1:7" x14ac:dyDescent="0.25">
      <c r="A302" s="3" t="str">
        <f ca="1">IFERROR(__xludf.DUMMYFUNCTION("""COMPUTED_VALUE"""),"ディフェンス技")</f>
        <v>ディフェンス技</v>
      </c>
      <c r="B302" s="3" t="str">
        <f ca="1">IFERROR(__xludf.DUMMYFUNCTION("""COMPUTED_VALUE"""),"ブロックサーカス")</f>
        <v>ブロックサーカス</v>
      </c>
      <c r="C302" s="3" t="str">
        <f ca="1">IFERROR(__xludf.DUMMYFUNCTION("""COMPUTED_VALUE"""),"山")</f>
        <v>山</v>
      </c>
      <c r="D302" s="3">
        <f ca="1">IFERROR(__xludf.DUMMYFUNCTION("""COMPUTED_VALUE"""),60)</f>
        <v>60</v>
      </c>
      <c r="E302" s="3">
        <f ca="1">IFERROR(__xludf.DUMMYFUNCTION("""COMPUTED_VALUE"""),60)</f>
        <v>60</v>
      </c>
      <c r="F302" s="3" t="str">
        <f ca="1">IFERROR(__xludf.DUMMYFUNCTION("""COMPUTED_VALUE"""),"秘宝堂")</f>
        <v>秘宝堂</v>
      </c>
      <c r="G302" s="3"/>
    </row>
    <row r="303" spans="1:7" x14ac:dyDescent="0.25">
      <c r="A303" s="3" t="str">
        <f ca="1">IFERROR(__xludf.DUMMYFUNCTION("""COMPUTED_VALUE"""),"ディフェンス技")</f>
        <v>ディフェンス技</v>
      </c>
      <c r="B303" s="3" t="str">
        <f ca="1">IFERROR(__xludf.DUMMYFUNCTION("""COMPUTED_VALUE"""),"ザ・タワー")</f>
        <v>ザ・タワー</v>
      </c>
      <c r="C303" s="3" t="str">
        <f ca="1">IFERROR(__xludf.DUMMYFUNCTION("""COMPUTED_VALUE"""),"風")</f>
        <v>風</v>
      </c>
      <c r="D303" s="3">
        <f ca="1">IFERROR(__xludf.DUMMYFUNCTION("""COMPUTED_VALUE"""),60)</f>
        <v>60</v>
      </c>
      <c r="E303" s="3">
        <f ca="1">IFERROR(__xludf.DUMMYFUNCTION("""COMPUTED_VALUE"""),60)</f>
        <v>60</v>
      </c>
      <c r="F303" s="3" t="str">
        <f ca="1">IFERROR(__xludf.DUMMYFUNCTION("""COMPUTED_VALUE"""),"クロニクル百貨店")</f>
        <v>クロニクル百貨店</v>
      </c>
      <c r="G303" s="3"/>
    </row>
    <row r="304" spans="1:7" x14ac:dyDescent="0.25">
      <c r="A304" s="3" t="str">
        <f ca="1">IFERROR(__xludf.DUMMYFUNCTION("""COMPUTED_VALUE"""),"ディフェンス技")</f>
        <v>ディフェンス技</v>
      </c>
      <c r="B304" s="3" t="str">
        <f ca="1">IFERROR(__xludf.DUMMYFUNCTION("""COMPUTED_VALUE"""),"フォトンフラッシュ")</f>
        <v>フォトンフラッシュ</v>
      </c>
      <c r="C304" s="3" t="str">
        <f ca="1">IFERROR(__xludf.DUMMYFUNCTION("""COMPUTED_VALUE"""),"火")</f>
        <v>火</v>
      </c>
      <c r="D304" s="3">
        <f ca="1">IFERROR(__xludf.DUMMYFUNCTION("""COMPUTED_VALUE"""),60)</f>
        <v>60</v>
      </c>
      <c r="E304" s="3">
        <f ca="1">IFERROR(__xludf.DUMMYFUNCTION("""COMPUTED_VALUE"""),60)</f>
        <v>60</v>
      </c>
      <c r="F304" s="3" t="str">
        <f ca="1">IFERROR(__xludf.DUMMYFUNCTION("""COMPUTED_VALUE"""),"クロニクル百貨店")</f>
        <v>クロニクル百貨店</v>
      </c>
      <c r="G304" s="3"/>
    </row>
    <row r="305" spans="1:7" x14ac:dyDescent="0.25">
      <c r="A305" s="3" t="str">
        <f ca="1">IFERROR(__xludf.DUMMYFUNCTION("""COMPUTED_VALUE"""),"ディフェンス技")</f>
        <v>ディフェンス技</v>
      </c>
      <c r="B305" s="3" t="str">
        <f ca="1">IFERROR(__xludf.DUMMYFUNCTION("""COMPUTED_VALUE"""),"ボルケイノカット")</f>
        <v>ボルケイノカット</v>
      </c>
      <c r="C305" s="3" t="str">
        <f ca="1">IFERROR(__xludf.DUMMYFUNCTION("""COMPUTED_VALUE"""),"火")</f>
        <v>火</v>
      </c>
      <c r="D305" s="3">
        <f ca="1">IFERROR(__xludf.DUMMYFUNCTION("""COMPUTED_VALUE"""),60)</f>
        <v>60</v>
      </c>
      <c r="E305" s="3">
        <f ca="1">IFERROR(__xludf.DUMMYFUNCTION("""COMPUTED_VALUE"""),60)</f>
        <v>60</v>
      </c>
      <c r="F305" s="3" t="str">
        <f ca="1">IFERROR(__xludf.DUMMYFUNCTION("""COMPUTED_VALUE"""),"特訓ショップ")</f>
        <v>特訓ショップ</v>
      </c>
      <c r="G305" s="3" t="str">
        <f ca="1">IFERROR(__xludf.DUMMYFUNCTION("""COMPUTED_VALUE"""),"シュートブロック")</f>
        <v>シュートブロック</v>
      </c>
    </row>
    <row r="306" spans="1:7" x14ac:dyDescent="0.25">
      <c r="A306" s="3" t="str">
        <f ca="1">IFERROR(__xludf.DUMMYFUNCTION("""COMPUTED_VALUE"""),"ディフェンス技")</f>
        <v>ディフェンス技</v>
      </c>
      <c r="B306" s="3" t="str">
        <f ca="1">IFERROR(__xludf.DUMMYFUNCTION("""COMPUTED_VALUE"""),"スーパー四股踏み")</f>
        <v>スーパー四股踏み</v>
      </c>
      <c r="C306" s="3" t="str">
        <f ca="1">IFERROR(__xludf.DUMMYFUNCTION("""COMPUTED_VALUE"""),"火")</f>
        <v>火</v>
      </c>
      <c r="D306" s="3">
        <f ca="1">IFERROR(__xludf.DUMMYFUNCTION("""COMPUTED_VALUE"""),60)</f>
        <v>60</v>
      </c>
      <c r="E306" s="3">
        <f ca="1">IFERROR(__xludf.DUMMYFUNCTION("""COMPUTED_VALUE"""),60)</f>
        <v>60</v>
      </c>
      <c r="F306" s="3" t="str">
        <f ca="1">IFERROR(__xludf.DUMMYFUNCTION("""COMPUTED_VALUE"""),"秘宝堂")</f>
        <v>秘宝堂</v>
      </c>
      <c r="G306" s="3" t="str">
        <f ca="1">IFERROR(__xludf.DUMMYFUNCTION("""COMPUTED_VALUE"""),"シュートブロック")</f>
        <v>シュートブロック</v>
      </c>
    </row>
    <row r="307" spans="1:7" x14ac:dyDescent="0.25">
      <c r="A307" s="3" t="str">
        <f ca="1">IFERROR(__xludf.DUMMYFUNCTION("""COMPUTED_VALUE"""),"ディフェンス技")</f>
        <v>ディフェンス技</v>
      </c>
      <c r="B307" s="3" t="str">
        <f ca="1">IFERROR(__xludf.DUMMYFUNCTION("""COMPUTED_VALUE"""),"イグナイトスティール")</f>
        <v>イグナイトスティール</v>
      </c>
      <c r="C307" s="3" t="str">
        <f ca="1">IFERROR(__xludf.DUMMYFUNCTION("""COMPUTED_VALUE"""),"火")</f>
        <v>火</v>
      </c>
      <c r="D307" s="3">
        <f ca="1">IFERROR(__xludf.DUMMYFUNCTION("""COMPUTED_VALUE"""),60)</f>
        <v>60</v>
      </c>
      <c r="E307" s="3">
        <f ca="1">IFERROR(__xludf.DUMMYFUNCTION("""COMPUTED_VALUE"""),60)</f>
        <v>60</v>
      </c>
      <c r="F307" s="3" t="str">
        <f ca="1">IFERROR(__xludf.DUMMYFUNCTION("""COMPUTED_VALUE"""),"クロニクル百貨店")</f>
        <v>クロニクル百貨店</v>
      </c>
      <c r="G307" s="3"/>
    </row>
    <row r="308" spans="1:7" x14ac:dyDescent="0.25">
      <c r="A308" s="3" t="str">
        <f ca="1">IFERROR(__xludf.DUMMYFUNCTION("""COMPUTED_VALUE"""),"ディフェンス技")</f>
        <v>ディフェンス技</v>
      </c>
      <c r="B308" s="3" t="str">
        <f ca="1">IFERROR(__xludf.DUMMYFUNCTION("""COMPUTED_VALUE"""),"旋風陣")</f>
        <v>旋風陣</v>
      </c>
      <c r="C308" s="3" t="str">
        <f ca="1">IFERROR(__xludf.DUMMYFUNCTION("""COMPUTED_VALUE"""),"風")</f>
        <v>風</v>
      </c>
      <c r="D308" s="3">
        <f ca="1">IFERROR(__xludf.DUMMYFUNCTION("""COMPUTED_VALUE"""),60)</f>
        <v>60</v>
      </c>
      <c r="E308" s="3">
        <f ca="1">IFERROR(__xludf.DUMMYFUNCTION("""COMPUTED_VALUE"""),60)</f>
        <v>60</v>
      </c>
      <c r="F308" s="3" t="str">
        <f ca="1">IFERROR(__xludf.DUMMYFUNCTION("""COMPUTED_VALUE"""),"特訓ショップ")</f>
        <v>特訓ショップ</v>
      </c>
      <c r="G308" s="3" t="str">
        <f ca="1">IFERROR(__xludf.DUMMYFUNCTION("""COMPUTED_VALUE"""),"シュートブロック")</f>
        <v>シュートブロック</v>
      </c>
    </row>
    <row r="309" spans="1:7" x14ac:dyDescent="0.25">
      <c r="A309" s="3" t="str">
        <f ca="1">IFERROR(__xludf.DUMMYFUNCTION("""COMPUTED_VALUE"""),"ディフェンス技")</f>
        <v>ディフェンス技</v>
      </c>
      <c r="B309" s="3" t="str">
        <f ca="1">IFERROR(__xludf.DUMMYFUNCTION("""COMPUTED_VALUE"""),"フローズンスティール")</f>
        <v>フローズンスティール</v>
      </c>
      <c r="C309" s="3" t="str">
        <f ca="1">IFERROR(__xludf.DUMMYFUNCTION("""COMPUTED_VALUE"""),"風")</f>
        <v>風</v>
      </c>
      <c r="D309" s="3">
        <f ca="1">IFERROR(__xludf.DUMMYFUNCTION("""COMPUTED_VALUE"""),60)</f>
        <v>60</v>
      </c>
      <c r="E309" s="3">
        <f ca="1">IFERROR(__xludf.DUMMYFUNCTION("""COMPUTED_VALUE"""),60)</f>
        <v>60</v>
      </c>
      <c r="F309" s="3" t="str">
        <f ca="1">IFERROR(__xludf.DUMMYFUNCTION("""COMPUTED_VALUE"""),"クロニクル百貨店")</f>
        <v>クロニクル百貨店</v>
      </c>
      <c r="G309" s="3"/>
    </row>
    <row r="310" spans="1:7" x14ac:dyDescent="0.25">
      <c r="A310" s="3" t="str">
        <f ca="1">IFERROR(__xludf.DUMMYFUNCTION("""COMPUTED_VALUE"""),"ディフェンス技")</f>
        <v>ディフェンス技</v>
      </c>
      <c r="B310" s="3" t="str">
        <f ca="1">IFERROR(__xludf.DUMMYFUNCTION("""COMPUTED_VALUE"""),"スノーエンジェル")</f>
        <v>スノーエンジェル</v>
      </c>
      <c r="C310" s="3" t="str">
        <f ca="1">IFERROR(__xludf.DUMMYFUNCTION("""COMPUTED_VALUE"""),"風")</f>
        <v>風</v>
      </c>
      <c r="D310" s="3">
        <f ca="1">IFERROR(__xludf.DUMMYFUNCTION("""COMPUTED_VALUE"""),60)</f>
        <v>60</v>
      </c>
      <c r="E310" s="3">
        <f ca="1">IFERROR(__xludf.DUMMYFUNCTION("""COMPUTED_VALUE"""),60)</f>
        <v>60</v>
      </c>
      <c r="F310" s="3" t="str">
        <f ca="1">IFERROR(__xludf.DUMMYFUNCTION("""COMPUTED_VALUE"""),"特訓ショップ")</f>
        <v>特訓ショップ</v>
      </c>
      <c r="G310" s="3"/>
    </row>
    <row r="311" spans="1:7" x14ac:dyDescent="0.25">
      <c r="A311" s="3" t="str">
        <f ca="1">IFERROR(__xludf.DUMMYFUNCTION("""COMPUTED_VALUE"""),"ディフェンス技")</f>
        <v>ディフェンス技</v>
      </c>
      <c r="B311" s="3" t="str">
        <f ca="1">IFERROR(__xludf.DUMMYFUNCTION("""COMPUTED_VALUE"""),"グレイブストーン")</f>
        <v>グレイブストーン</v>
      </c>
      <c r="C311" s="3" t="str">
        <f ca="1">IFERROR(__xludf.DUMMYFUNCTION("""COMPUTED_VALUE"""),"山")</f>
        <v>山</v>
      </c>
      <c r="D311" s="3">
        <f ca="1">IFERROR(__xludf.DUMMYFUNCTION("""COMPUTED_VALUE"""),60)</f>
        <v>60</v>
      </c>
      <c r="E311" s="3">
        <f ca="1">IFERROR(__xludf.DUMMYFUNCTION("""COMPUTED_VALUE"""),60)</f>
        <v>60</v>
      </c>
      <c r="F311" s="3" t="str">
        <f ca="1">IFERROR(__xludf.DUMMYFUNCTION("""COMPUTED_VALUE"""),"秘宝堂")</f>
        <v>秘宝堂</v>
      </c>
      <c r="G311" s="3"/>
    </row>
    <row r="312" spans="1:7" x14ac:dyDescent="0.25">
      <c r="A312" s="3" t="str">
        <f ca="1">IFERROR(__xludf.DUMMYFUNCTION("""COMPUTED_VALUE"""),"ディフェンス技")</f>
        <v>ディフェンス技</v>
      </c>
      <c r="B312" s="3" t="str">
        <f ca="1">IFERROR(__xludf.DUMMYFUNCTION("""COMPUTED_VALUE"""),"地走り火炎")</f>
        <v>地走り火炎</v>
      </c>
      <c r="C312" s="3" t="str">
        <f ca="1">IFERROR(__xludf.DUMMYFUNCTION("""COMPUTED_VALUE"""),"火")</f>
        <v>火</v>
      </c>
      <c r="D312" s="3">
        <f ca="1">IFERROR(__xludf.DUMMYFUNCTION("""COMPUTED_VALUE"""),60)</f>
        <v>60</v>
      </c>
      <c r="E312" s="3">
        <f ca="1">IFERROR(__xludf.DUMMYFUNCTION("""COMPUTED_VALUE"""),60)</f>
        <v>60</v>
      </c>
      <c r="F312" s="3" t="str">
        <f ca="1">IFERROR(__xludf.DUMMYFUNCTION("""COMPUTED_VALUE"""),"秘宝堂")</f>
        <v>秘宝堂</v>
      </c>
      <c r="G312" s="3" t="str">
        <f ca="1">IFERROR(__xludf.DUMMYFUNCTION("""COMPUTED_VALUE"""),"シュートブロック")</f>
        <v>シュートブロック</v>
      </c>
    </row>
    <row r="313" spans="1:7" x14ac:dyDescent="0.25">
      <c r="A313" s="3" t="str">
        <f ca="1">IFERROR(__xludf.DUMMYFUNCTION("""COMPUTED_VALUE"""),"ディフェンス技")</f>
        <v>ディフェンス技</v>
      </c>
      <c r="B313" s="3" t="str">
        <f ca="1">IFERROR(__xludf.DUMMYFUNCTION("""COMPUTED_VALUE"""),"ローリングスライド")</f>
        <v>ローリングスライド</v>
      </c>
      <c r="C313" s="3" t="str">
        <f ca="1">IFERROR(__xludf.DUMMYFUNCTION("""COMPUTED_VALUE"""),"火")</f>
        <v>火</v>
      </c>
      <c r="D313" s="3">
        <f ca="1">IFERROR(__xludf.DUMMYFUNCTION("""COMPUTED_VALUE"""),60)</f>
        <v>60</v>
      </c>
      <c r="E313" s="3">
        <f ca="1">IFERROR(__xludf.DUMMYFUNCTION("""COMPUTED_VALUE"""),60)</f>
        <v>60</v>
      </c>
      <c r="F313" s="3" t="str">
        <f ca="1">IFERROR(__xludf.DUMMYFUNCTION("""COMPUTED_VALUE"""),"秘宝堂")</f>
        <v>秘宝堂</v>
      </c>
      <c r="G313" s="3"/>
    </row>
    <row r="314" spans="1:7" x14ac:dyDescent="0.25">
      <c r="A314" s="3" t="str">
        <f ca="1">IFERROR(__xludf.DUMMYFUNCTION("""COMPUTED_VALUE"""),"ディフェンス技")</f>
        <v>ディフェンス技</v>
      </c>
      <c r="B314" s="3" t="str">
        <f ca="1">IFERROR(__xludf.DUMMYFUNCTION("""COMPUTED_VALUE"""),"ストーンプリズン")</f>
        <v>ストーンプリズン</v>
      </c>
      <c r="C314" s="3" t="str">
        <f ca="1">IFERROR(__xludf.DUMMYFUNCTION("""COMPUTED_VALUE"""),"山")</f>
        <v>山</v>
      </c>
      <c r="D314" s="3">
        <f ca="1">IFERROR(__xludf.DUMMYFUNCTION("""COMPUTED_VALUE"""),60)</f>
        <v>60</v>
      </c>
      <c r="E314" s="3">
        <f ca="1">IFERROR(__xludf.DUMMYFUNCTION("""COMPUTED_VALUE"""),60)</f>
        <v>60</v>
      </c>
      <c r="F314" s="3" t="str">
        <f ca="1">IFERROR(__xludf.DUMMYFUNCTION("""COMPUTED_VALUE"""),"特訓ショップ")</f>
        <v>特訓ショップ</v>
      </c>
      <c r="G314" s="3"/>
    </row>
    <row r="315" spans="1:7" x14ac:dyDescent="0.25">
      <c r="A315" s="3" t="str">
        <f ca="1">IFERROR(__xludf.DUMMYFUNCTION("""COMPUTED_VALUE"""),"ディフェンス技")</f>
        <v>ディフェンス技</v>
      </c>
      <c r="B315" s="3" t="str">
        <f ca="1">IFERROR(__xludf.DUMMYFUNCTION("""COMPUTED_VALUE"""),"ジグザグフレイム")</f>
        <v>ジグザグフレイム</v>
      </c>
      <c r="C315" s="3" t="str">
        <f ca="1">IFERROR(__xludf.DUMMYFUNCTION("""COMPUTED_VALUE"""),"火")</f>
        <v>火</v>
      </c>
      <c r="D315" s="3">
        <f ca="1">IFERROR(__xludf.DUMMYFUNCTION("""COMPUTED_VALUE"""),60)</f>
        <v>60</v>
      </c>
      <c r="E315" s="3">
        <f ca="1">IFERROR(__xludf.DUMMYFUNCTION("""COMPUTED_VALUE"""),60)</f>
        <v>60</v>
      </c>
      <c r="F315" s="3" t="str">
        <f ca="1">IFERROR(__xludf.DUMMYFUNCTION("""COMPUTED_VALUE"""),"特訓ショップ")</f>
        <v>特訓ショップ</v>
      </c>
      <c r="G315" s="3"/>
    </row>
    <row r="316" spans="1:7" x14ac:dyDescent="0.25">
      <c r="A316" s="3" t="str">
        <f ca="1">IFERROR(__xludf.DUMMYFUNCTION("""COMPUTED_VALUE"""),"ディフェンス技")</f>
        <v>ディフェンス技</v>
      </c>
      <c r="B316" s="3" t="str">
        <f ca="1">IFERROR(__xludf.DUMMYFUNCTION("""COMPUTED_VALUE"""),"ザ・ミスト")</f>
        <v>ザ・ミスト</v>
      </c>
      <c r="C316" s="3" t="str">
        <f ca="1">IFERROR(__xludf.DUMMYFUNCTION("""COMPUTED_VALUE"""),"林")</f>
        <v>林</v>
      </c>
      <c r="D316" s="3">
        <f ca="1">IFERROR(__xludf.DUMMYFUNCTION("""COMPUTED_VALUE"""),60)</f>
        <v>60</v>
      </c>
      <c r="E316" s="3">
        <f ca="1">IFERROR(__xludf.DUMMYFUNCTION("""COMPUTED_VALUE"""),60)</f>
        <v>60</v>
      </c>
      <c r="F316" s="3" t="str">
        <f ca="1">IFERROR(__xludf.DUMMYFUNCTION("""COMPUTED_VALUE"""),"クロニクル百貨店")</f>
        <v>クロニクル百貨店</v>
      </c>
      <c r="G316" s="3"/>
    </row>
    <row r="317" spans="1:7" x14ac:dyDescent="0.25">
      <c r="A317" s="3" t="str">
        <f ca="1">IFERROR(__xludf.DUMMYFUNCTION("""COMPUTED_VALUE"""),"ディフェンス技")</f>
        <v>ディフェンス技</v>
      </c>
      <c r="B317" s="3" t="str">
        <f ca="1">IFERROR(__xludf.DUMMYFUNCTION("""COMPUTED_VALUE"""),"ハンターズネット")</f>
        <v>ハンターズネット</v>
      </c>
      <c r="C317" s="3" t="str">
        <f ca="1">IFERROR(__xludf.DUMMYFUNCTION("""COMPUTED_VALUE"""),"林")</f>
        <v>林</v>
      </c>
      <c r="D317" s="3">
        <f ca="1">IFERROR(__xludf.DUMMYFUNCTION("""COMPUTED_VALUE"""),60)</f>
        <v>60</v>
      </c>
      <c r="E317" s="3">
        <f ca="1">IFERROR(__xludf.DUMMYFUNCTION("""COMPUTED_VALUE"""),60)</f>
        <v>60</v>
      </c>
      <c r="F317" s="3" t="str">
        <f ca="1">IFERROR(__xludf.DUMMYFUNCTION("""COMPUTED_VALUE"""),"クロニクル百貨店")</f>
        <v>クロニクル百貨店</v>
      </c>
      <c r="G317" s="3" t="str">
        <f ca="1">IFERROR(__xludf.DUMMYFUNCTION("""COMPUTED_VALUE"""),"シュートブロック")</f>
        <v>シュートブロック</v>
      </c>
    </row>
    <row r="318" spans="1:7" x14ac:dyDescent="0.25">
      <c r="A318" s="3" t="str">
        <f ca="1">IFERROR(__xludf.DUMMYFUNCTION("""COMPUTED_VALUE"""),"ディフェンス技")</f>
        <v>ディフェンス技</v>
      </c>
      <c r="B318" s="3" t="str">
        <f ca="1">IFERROR(__xludf.DUMMYFUNCTION("""COMPUTED_VALUE"""),"サルガッソー")</f>
        <v>サルガッソー</v>
      </c>
      <c r="C318" s="3" t="str">
        <f ca="1">IFERROR(__xludf.DUMMYFUNCTION("""COMPUTED_VALUE"""),"風")</f>
        <v>風</v>
      </c>
      <c r="D318" s="3">
        <f ca="1">IFERROR(__xludf.DUMMYFUNCTION("""COMPUTED_VALUE"""),60)</f>
        <v>60</v>
      </c>
      <c r="E318" s="3">
        <f ca="1">IFERROR(__xludf.DUMMYFUNCTION("""COMPUTED_VALUE"""),60)</f>
        <v>60</v>
      </c>
      <c r="F318" s="3" t="str">
        <f ca="1">IFERROR(__xludf.DUMMYFUNCTION("""COMPUTED_VALUE"""),"特訓ショップ")</f>
        <v>特訓ショップ</v>
      </c>
      <c r="G318" s="3"/>
    </row>
    <row r="319" spans="1:7" x14ac:dyDescent="0.25">
      <c r="A319" s="3" t="str">
        <f ca="1">IFERROR(__xludf.DUMMYFUNCTION("""COMPUTED_VALUE"""),"ディフェンス技")</f>
        <v>ディフェンス技</v>
      </c>
      <c r="B319" s="3" t="str">
        <f ca="1">IFERROR(__xludf.DUMMYFUNCTION("""COMPUTED_VALUE"""),"エアーバレット")</f>
        <v>エアーバレット</v>
      </c>
      <c r="C319" s="3" t="str">
        <f ca="1">IFERROR(__xludf.DUMMYFUNCTION("""COMPUTED_VALUE"""),"風")</f>
        <v>風</v>
      </c>
      <c r="D319" s="3">
        <f ca="1">IFERROR(__xludf.DUMMYFUNCTION("""COMPUTED_VALUE"""),60)</f>
        <v>60</v>
      </c>
      <c r="E319" s="3">
        <f ca="1">IFERROR(__xludf.DUMMYFUNCTION("""COMPUTED_VALUE"""),60)</f>
        <v>60</v>
      </c>
      <c r="F319" s="3" t="str">
        <f ca="1">IFERROR(__xludf.DUMMYFUNCTION("""COMPUTED_VALUE"""),"秘宝堂")</f>
        <v>秘宝堂</v>
      </c>
      <c r="G319" s="3" t="str">
        <f ca="1">IFERROR(__xludf.DUMMYFUNCTION("""COMPUTED_VALUE"""),"シュートブロック")</f>
        <v>シュートブロック</v>
      </c>
    </row>
    <row r="320" spans="1:7" x14ac:dyDescent="0.25">
      <c r="A320" s="3" t="str">
        <f ca="1">IFERROR(__xludf.DUMMYFUNCTION("""COMPUTED_VALUE"""),"ディフェンス技")</f>
        <v>ディフェンス技</v>
      </c>
      <c r="B320" s="3" t="str">
        <f ca="1">IFERROR(__xludf.DUMMYFUNCTION("""COMPUTED_VALUE"""),"ツインミキサー")</f>
        <v>ツインミキサー</v>
      </c>
      <c r="C320" s="3" t="str">
        <f ca="1">IFERROR(__xludf.DUMMYFUNCTION("""COMPUTED_VALUE"""),"火")</f>
        <v>火</v>
      </c>
      <c r="D320" s="3">
        <f ca="1">IFERROR(__xludf.DUMMYFUNCTION("""COMPUTED_VALUE"""),60)</f>
        <v>60</v>
      </c>
      <c r="E320" s="3">
        <f ca="1">IFERROR(__xludf.DUMMYFUNCTION("""COMPUTED_VALUE"""),60)</f>
        <v>60</v>
      </c>
      <c r="F320" s="3" t="str">
        <f ca="1">IFERROR(__xludf.DUMMYFUNCTION("""COMPUTED_VALUE"""),"秘宝堂")</f>
        <v>秘宝堂</v>
      </c>
      <c r="G320" s="3"/>
    </row>
    <row r="321" spans="1:7" x14ac:dyDescent="0.25">
      <c r="A321" s="3" t="str">
        <f ca="1">IFERROR(__xludf.DUMMYFUNCTION("""COMPUTED_VALUE"""),"ディフェンス技")</f>
        <v>ディフェンス技</v>
      </c>
      <c r="B321" s="3" t="str">
        <f ca="1">IFERROR(__xludf.DUMMYFUNCTION("""COMPUTED_VALUE"""),"ビッグシザース")</f>
        <v>ビッグシザース</v>
      </c>
      <c r="C321" s="3" t="str">
        <f ca="1">IFERROR(__xludf.DUMMYFUNCTION("""COMPUTED_VALUE"""),"火")</f>
        <v>火</v>
      </c>
      <c r="D321" s="3">
        <f ca="1">IFERROR(__xludf.DUMMYFUNCTION("""COMPUTED_VALUE"""),60)</f>
        <v>60</v>
      </c>
      <c r="E321" s="3">
        <f ca="1">IFERROR(__xludf.DUMMYFUNCTION("""COMPUTED_VALUE"""),60)</f>
        <v>60</v>
      </c>
      <c r="F321" s="3" t="str">
        <f ca="1">IFERROR(__xludf.DUMMYFUNCTION("""COMPUTED_VALUE"""),"秘宝堂")</f>
        <v>秘宝堂</v>
      </c>
      <c r="G321" s="3"/>
    </row>
    <row r="322" spans="1:7" x14ac:dyDescent="0.25">
      <c r="A322" s="3" t="str">
        <f ca="1">IFERROR(__xludf.DUMMYFUNCTION("""COMPUTED_VALUE"""),"ディフェンス技")</f>
        <v>ディフェンス技</v>
      </c>
      <c r="B322" s="3" t="str">
        <f ca="1">IFERROR(__xludf.DUMMYFUNCTION("""COMPUTED_VALUE"""),"ディメンションカット")</f>
        <v>ディメンションカット</v>
      </c>
      <c r="C322" s="3" t="str">
        <f ca="1">IFERROR(__xludf.DUMMYFUNCTION("""COMPUTED_VALUE"""),"林")</f>
        <v>林</v>
      </c>
      <c r="D322" s="3">
        <f ca="1">IFERROR(__xludf.DUMMYFUNCTION("""COMPUTED_VALUE"""),60)</f>
        <v>60</v>
      </c>
      <c r="E322" s="3">
        <f ca="1">IFERROR(__xludf.DUMMYFUNCTION("""COMPUTED_VALUE"""),60)</f>
        <v>60</v>
      </c>
      <c r="F322" s="3" t="str">
        <f ca="1">IFERROR(__xludf.DUMMYFUNCTION("""COMPUTED_VALUE"""),"クロニクル百貨店")</f>
        <v>クロニクル百貨店</v>
      </c>
      <c r="G322" s="3"/>
    </row>
    <row r="323" spans="1:7" x14ac:dyDescent="0.25">
      <c r="A323" s="3" t="str">
        <f ca="1">IFERROR(__xludf.DUMMYFUNCTION("""COMPUTED_VALUE"""),"ディフェンス技")</f>
        <v>ディフェンス技</v>
      </c>
      <c r="B323" s="3" t="str">
        <f ca="1">IFERROR(__xludf.DUMMYFUNCTION("""COMPUTED_VALUE"""),"クレイジーサンライト")</f>
        <v>クレイジーサンライト</v>
      </c>
      <c r="C323" s="3" t="str">
        <f ca="1">IFERROR(__xludf.DUMMYFUNCTION("""COMPUTED_VALUE"""),"火")</f>
        <v>火</v>
      </c>
      <c r="D323" s="3">
        <f ca="1">IFERROR(__xludf.DUMMYFUNCTION("""COMPUTED_VALUE"""),60)</f>
        <v>60</v>
      </c>
      <c r="E323" s="3">
        <f ca="1">IFERROR(__xludf.DUMMYFUNCTION("""COMPUTED_VALUE"""),60)</f>
        <v>60</v>
      </c>
      <c r="F323" s="3" t="str">
        <f ca="1">IFERROR(__xludf.DUMMYFUNCTION("""COMPUTED_VALUE"""),"クロニクル百貨店")</f>
        <v>クロニクル百貨店</v>
      </c>
      <c r="G323" s="3"/>
    </row>
    <row r="324" spans="1:7" x14ac:dyDescent="0.25">
      <c r="A324" s="3" t="str">
        <f ca="1">IFERROR(__xludf.DUMMYFUNCTION("""COMPUTED_VALUE"""),"ディフェンス技")</f>
        <v>ディフェンス技</v>
      </c>
      <c r="B324" s="3" t="str">
        <f ca="1">IFERROR(__xludf.DUMMYFUNCTION("""COMPUTED_VALUE"""),"ビバ！万里の長城")</f>
        <v>ビバ！万里の長城</v>
      </c>
      <c r="C324" s="3" t="str">
        <f ca="1">IFERROR(__xludf.DUMMYFUNCTION("""COMPUTED_VALUE"""),"山")</f>
        <v>山</v>
      </c>
      <c r="D324" s="3">
        <f ca="1">IFERROR(__xludf.DUMMYFUNCTION("""COMPUTED_VALUE"""),60)</f>
        <v>60</v>
      </c>
      <c r="E324" s="3">
        <f ca="1">IFERROR(__xludf.DUMMYFUNCTION("""COMPUTED_VALUE"""),60)</f>
        <v>60</v>
      </c>
      <c r="F324" s="3" t="str">
        <f ca="1">IFERROR(__xludf.DUMMYFUNCTION("""COMPUTED_VALUE"""),"クロニクル百貨店")</f>
        <v>クロニクル百貨店</v>
      </c>
      <c r="G324" s="3" t="str">
        <f ca="1">IFERROR(__xludf.DUMMYFUNCTION("""COMPUTED_VALUE"""),"シュートブロック")</f>
        <v>シュートブロック</v>
      </c>
    </row>
    <row r="325" spans="1:7" x14ac:dyDescent="0.25">
      <c r="A325" s="3" t="str">
        <f ca="1">IFERROR(__xludf.DUMMYFUNCTION("""COMPUTED_VALUE"""),"ディフェンス技")</f>
        <v>ディフェンス技</v>
      </c>
      <c r="B325" s="3" t="str">
        <f ca="1">IFERROR(__xludf.DUMMYFUNCTION("""COMPUTED_VALUE"""),"ワンダートラップ")</f>
        <v>ワンダートラップ</v>
      </c>
      <c r="C325" s="3" t="str">
        <f ca="1">IFERROR(__xludf.DUMMYFUNCTION("""COMPUTED_VALUE"""),"風")</f>
        <v>風</v>
      </c>
      <c r="D325" s="3">
        <f ca="1">IFERROR(__xludf.DUMMYFUNCTION("""COMPUTED_VALUE"""),60)</f>
        <v>60</v>
      </c>
      <c r="E325" s="3">
        <f ca="1">IFERROR(__xludf.DUMMYFUNCTION("""COMPUTED_VALUE"""),60)</f>
        <v>60</v>
      </c>
      <c r="F325" s="3" t="str">
        <f ca="1">IFERROR(__xludf.DUMMYFUNCTION("""COMPUTED_VALUE"""),"VSストア")</f>
        <v>VSストア</v>
      </c>
      <c r="G325" s="3"/>
    </row>
    <row r="326" spans="1:7" x14ac:dyDescent="0.25">
      <c r="A326" s="3" t="str">
        <f ca="1">IFERROR(__xludf.DUMMYFUNCTION("""COMPUTED_VALUE"""),"ディフェンス技")</f>
        <v>ディフェンス技</v>
      </c>
      <c r="B326" s="3" t="str">
        <f ca="1">IFERROR(__xludf.DUMMYFUNCTION("""COMPUTED_VALUE"""),"コイルアッパー")</f>
        <v>コイルアッパー</v>
      </c>
      <c r="C326" s="3" t="str">
        <f ca="1">IFERROR(__xludf.DUMMYFUNCTION("""COMPUTED_VALUE"""),"林")</f>
        <v>林</v>
      </c>
      <c r="D326" s="3">
        <f ca="1">IFERROR(__xludf.DUMMYFUNCTION("""COMPUTED_VALUE"""),60)</f>
        <v>60</v>
      </c>
      <c r="E326" s="3">
        <f ca="1">IFERROR(__xludf.DUMMYFUNCTION("""COMPUTED_VALUE"""),60)</f>
        <v>60</v>
      </c>
      <c r="F326" s="3" t="str">
        <f ca="1">IFERROR(__xludf.DUMMYFUNCTION("""COMPUTED_VALUE"""),"秘宝堂")</f>
        <v>秘宝堂</v>
      </c>
      <c r="G326" s="3"/>
    </row>
    <row r="327" spans="1:7" x14ac:dyDescent="0.25">
      <c r="A327" s="3" t="str">
        <f ca="1">IFERROR(__xludf.DUMMYFUNCTION("""COMPUTED_VALUE"""),"ディフェンス技")</f>
        <v>ディフェンス技</v>
      </c>
      <c r="B327" s="3" t="str">
        <f ca="1">IFERROR(__xludf.DUMMYFUNCTION("""COMPUTED_VALUE"""),"もちもち黄粉餅")</f>
        <v>もちもち黄粉餅</v>
      </c>
      <c r="C327" s="3" t="str">
        <f ca="1">IFERROR(__xludf.DUMMYFUNCTION("""COMPUTED_VALUE"""),"火")</f>
        <v>火</v>
      </c>
      <c r="D327" s="3">
        <f ca="1">IFERROR(__xludf.DUMMYFUNCTION("""COMPUTED_VALUE"""),60)</f>
        <v>60</v>
      </c>
      <c r="E327" s="3">
        <f ca="1">IFERROR(__xludf.DUMMYFUNCTION("""COMPUTED_VALUE"""),60)</f>
        <v>60</v>
      </c>
      <c r="F327" s="3" t="str">
        <f ca="1">IFERROR(__xludf.DUMMYFUNCTION("""COMPUTED_VALUE"""),"クロニクル百貨店")</f>
        <v>クロニクル百貨店</v>
      </c>
      <c r="G327" s="3" t="str">
        <f ca="1">IFERROR(__xludf.DUMMYFUNCTION("""COMPUTED_VALUE"""),"シュートブロック")</f>
        <v>シュートブロック</v>
      </c>
    </row>
    <row r="328" spans="1:7" x14ac:dyDescent="0.25">
      <c r="A328" s="3" t="str">
        <f ca="1">IFERROR(__xludf.DUMMYFUNCTION("""COMPUTED_VALUE"""),"ディフェンス技")</f>
        <v>ディフェンス技</v>
      </c>
      <c r="B328" s="3" t="str">
        <f ca="1">IFERROR(__xludf.DUMMYFUNCTION("""COMPUTED_VALUE"""),"スクリュードライバー")</f>
        <v>スクリュードライバー</v>
      </c>
      <c r="C328" s="3" t="str">
        <f ca="1">IFERROR(__xludf.DUMMYFUNCTION("""COMPUTED_VALUE"""),"火")</f>
        <v>火</v>
      </c>
      <c r="D328" s="3">
        <f ca="1">IFERROR(__xludf.DUMMYFUNCTION("""COMPUTED_VALUE"""),60)</f>
        <v>60</v>
      </c>
      <c r="E328" s="3">
        <f ca="1">IFERROR(__xludf.DUMMYFUNCTION("""COMPUTED_VALUE"""),60)</f>
        <v>60</v>
      </c>
      <c r="F328" s="3" t="str">
        <f ca="1">IFERROR(__xludf.DUMMYFUNCTION("""COMPUTED_VALUE"""),"秘宝堂")</f>
        <v>秘宝堂</v>
      </c>
      <c r="G328" s="3"/>
    </row>
    <row r="329" spans="1:7" x14ac:dyDescent="0.25">
      <c r="A329" s="3" t="str">
        <f ca="1">IFERROR(__xludf.DUMMYFUNCTION("""COMPUTED_VALUE"""),"ディフェンス技")</f>
        <v>ディフェンス技</v>
      </c>
      <c r="B329" s="3" t="str">
        <f ca="1">IFERROR(__xludf.DUMMYFUNCTION("""COMPUTED_VALUE"""),"オケハザマウォール")</f>
        <v>オケハザマウォール</v>
      </c>
      <c r="C329" s="3" t="str">
        <f ca="1">IFERROR(__xludf.DUMMYFUNCTION("""COMPUTED_VALUE"""),"山")</f>
        <v>山</v>
      </c>
      <c r="D329" s="3">
        <f ca="1">IFERROR(__xludf.DUMMYFUNCTION("""COMPUTED_VALUE"""),60)</f>
        <v>60</v>
      </c>
      <c r="E329" s="3">
        <f ca="1">IFERROR(__xludf.DUMMYFUNCTION("""COMPUTED_VALUE"""),60)</f>
        <v>60</v>
      </c>
      <c r="F329" s="3" t="str">
        <f ca="1">IFERROR(__xludf.DUMMYFUNCTION("""COMPUTED_VALUE"""),"VSストア")</f>
        <v>VSストア</v>
      </c>
      <c r="G329" s="3" t="str">
        <f ca="1">IFERROR(__xludf.DUMMYFUNCTION("""COMPUTED_VALUE"""),"シュートブロック")</f>
        <v>シュートブロック</v>
      </c>
    </row>
    <row r="330" spans="1:7" x14ac:dyDescent="0.25">
      <c r="A330" s="3" t="str">
        <f ca="1">IFERROR(__xludf.DUMMYFUNCTION("""COMPUTED_VALUE"""),"ディフェンス技")</f>
        <v>ディフェンス技</v>
      </c>
      <c r="B330" s="3" t="str">
        <f ca="1">IFERROR(__xludf.DUMMYFUNCTION("""COMPUTED_VALUE"""),"グランドスイーパー")</f>
        <v>グランドスイーパー</v>
      </c>
      <c r="C330" s="3" t="str">
        <f ca="1">IFERROR(__xludf.DUMMYFUNCTION("""COMPUTED_VALUE"""),"無")</f>
        <v>無</v>
      </c>
      <c r="D330" s="3">
        <f ca="1">IFERROR(__xludf.DUMMYFUNCTION("""COMPUTED_VALUE"""),60)</f>
        <v>60</v>
      </c>
      <c r="E330" s="3">
        <f ca="1">IFERROR(__xludf.DUMMYFUNCTION("""COMPUTED_VALUE"""),60)</f>
        <v>60</v>
      </c>
      <c r="F330" s="3" t="str">
        <f ca="1">IFERROR(__xludf.DUMMYFUNCTION("""COMPUTED_VALUE"""),"秘宝堂")</f>
        <v>秘宝堂</v>
      </c>
      <c r="G330" s="3" t="str">
        <f ca="1">IFERROR(__xludf.DUMMYFUNCTION("""COMPUTED_VALUE"""),"シュートブロック")</f>
        <v>シュートブロック</v>
      </c>
    </row>
    <row r="331" spans="1:7" x14ac:dyDescent="0.25">
      <c r="A331" s="3" t="str">
        <f ca="1">IFERROR(__xludf.DUMMYFUNCTION("""COMPUTED_VALUE"""),"ディフェンス技")</f>
        <v>ディフェンス技</v>
      </c>
      <c r="B331" s="3" t="str">
        <f ca="1">IFERROR(__xludf.DUMMYFUNCTION("""COMPUTED_VALUE"""),"ダンシングタートル")</f>
        <v>ダンシングタートル</v>
      </c>
      <c r="C331" s="3" t="str">
        <f ca="1">IFERROR(__xludf.DUMMYFUNCTION("""COMPUTED_VALUE"""),"風")</f>
        <v>風</v>
      </c>
      <c r="D331" s="3">
        <f ca="1">IFERROR(__xludf.DUMMYFUNCTION("""COMPUTED_VALUE"""),60)</f>
        <v>60</v>
      </c>
      <c r="E331" s="3">
        <f ca="1">IFERROR(__xludf.DUMMYFUNCTION("""COMPUTED_VALUE"""),60)</f>
        <v>60</v>
      </c>
      <c r="F331" s="3" t="str">
        <f ca="1">IFERROR(__xludf.DUMMYFUNCTION("""COMPUTED_VALUE"""),"特訓ショップ")</f>
        <v>特訓ショップ</v>
      </c>
      <c r="G331" s="3"/>
    </row>
    <row r="332" spans="1:7" x14ac:dyDescent="0.25">
      <c r="A332" s="3" t="str">
        <f ca="1">IFERROR(__xludf.DUMMYFUNCTION("""COMPUTED_VALUE"""),"ディフェンス技")</f>
        <v>ディフェンス技</v>
      </c>
      <c r="B332" s="3" t="str">
        <f ca="1">IFERROR(__xludf.DUMMYFUNCTION("""COMPUTED_VALUE"""),"ディープダイバー")</f>
        <v>ディープダイバー</v>
      </c>
      <c r="C332" s="3" t="str">
        <f ca="1">IFERROR(__xludf.DUMMYFUNCTION("""COMPUTED_VALUE"""),"風")</f>
        <v>風</v>
      </c>
      <c r="D332" s="3">
        <f ca="1">IFERROR(__xludf.DUMMYFUNCTION("""COMPUTED_VALUE"""),60)</f>
        <v>60</v>
      </c>
      <c r="E332" s="3">
        <f ca="1">IFERROR(__xludf.DUMMYFUNCTION("""COMPUTED_VALUE"""),60)</f>
        <v>60</v>
      </c>
      <c r="F332" s="3" t="str">
        <f ca="1">IFERROR(__xludf.DUMMYFUNCTION("""COMPUTED_VALUE"""),"特訓ショップ")</f>
        <v>特訓ショップ</v>
      </c>
      <c r="G332" s="3"/>
    </row>
    <row r="333" spans="1:7" x14ac:dyDescent="0.25">
      <c r="A333" s="3" t="str">
        <f ca="1">IFERROR(__xludf.DUMMYFUNCTION("""COMPUTED_VALUE"""),"ディフェンス技")</f>
        <v>ディフェンス技</v>
      </c>
      <c r="B333" s="3" t="str">
        <f ca="1">IFERROR(__xludf.DUMMYFUNCTION("""COMPUTED_VALUE"""),"キラースライド")</f>
        <v>キラースライド</v>
      </c>
      <c r="C333" s="3" t="str">
        <f ca="1">IFERROR(__xludf.DUMMYFUNCTION("""COMPUTED_VALUE"""),"林")</f>
        <v>林</v>
      </c>
      <c r="D333" s="3">
        <f ca="1">IFERROR(__xludf.DUMMYFUNCTION("""COMPUTED_VALUE"""),50)</f>
        <v>50</v>
      </c>
      <c r="E333" s="3">
        <f ca="1">IFERROR(__xludf.DUMMYFUNCTION("""COMPUTED_VALUE"""),50)</f>
        <v>50</v>
      </c>
      <c r="F333" s="3" t="str">
        <f ca="1">IFERROR(__xludf.DUMMYFUNCTION("""COMPUTED_VALUE"""),"特訓ショップ")</f>
        <v>特訓ショップ</v>
      </c>
      <c r="G333" s="3"/>
    </row>
    <row r="334" spans="1:7" x14ac:dyDescent="0.25">
      <c r="A334" s="3" t="str">
        <f ca="1">IFERROR(__xludf.DUMMYFUNCTION("""COMPUTED_VALUE"""),"ディフェンス技")</f>
        <v>ディフェンス技</v>
      </c>
      <c r="B334" s="3" t="str">
        <f ca="1">IFERROR(__xludf.DUMMYFUNCTION("""COMPUTED_VALUE"""),"コイルターン")</f>
        <v>コイルターン</v>
      </c>
      <c r="C334" s="3" t="str">
        <f ca="1">IFERROR(__xludf.DUMMYFUNCTION("""COMPUTED_VALUE"""),"風")</f>
        <v>風</v>
      </c>
      <c r="D334" s="3">
        <f ca="1">IFERROR(__xludf.DUMMYFUNCTION("""COMPUTED_VALUE"""),50)</f>
        <v>50</v>
      </c>
      <c r="E334" s="3">
        <f ca="1">IFERROR(__xludf.DUMMYFUNCTION("""COMPUTED_VALUE"""),50)</f>
        <v>50</v>
      </c>
      <c r="F334" s="3" t="str">
        <f ca="1">IFERROR(__xludf.DUMMYFUNCTION("""COMPUTED_VALUE"""),"特訓ショップ")</f>
        <v>特訓ショップ</v>
      </c>
      <c r="G334" s="3"/>
    </row>
    <row r="335" spans="1:7" x14ac:dyDescent="0.25">
      <c r="A335" s="3" t="str">
        <f ca="1">IFERROR(__xludf.DUMMYFUNCTION("""COMPUTED_VALUE"""),"ディフェンス技")</f>
        <v>ディフェンス技</v>
      </c>
      <c r="B335" s="3" t="str">
        <f ca="1">IFERROR(__xludf.DUMMYFUNCTION("""COMPUTED_VALUE"""),"アースクェイク")</f>
        <v>アースクェイク</v>
      </c>
      <c r="C335" s="3" t="str">
        <f ca="1">IFERROR(__xludf.DUMMYFUNCTION("""COMPUTED_VALUE"""),"山")</f>
        <v>山</v>
      </c>
      <c r="D335" s="3">
        <f ca="1">IFERROR(__xludf.DUMMYFUNCTION("""COMPUTED_VALUE"""),50)</f>
        <v>50</v>
      </c>
      <c r="E335" s="3">
        <f ca="1">IFERROR(__xludf.DUMMYFUNCTION("""COMPUTED_VALUE"""),50)</f>
        <v>50</v>
      </c>
      <c r="F335" s="3" t="str">
        <f ca="1">IFERROR(__xludf.DUMMYFUNCTION("""COMPUTED_VALUE"""),"特訓ショップ")</f>
        <v>特訓ショップ</v>
      </c>
      <c r="G335" s="3"/>
    </row>
    <row r="336" spans="1:7" x14ac:dyDescent="0.25">
      <c r="A336" s="3" t="str">
        <f ca="1">IFERROR(__xludf.DUMMYFUNCTION("""COMPUTED_VALUE"""),"ディフェンス技")</f>
        <v>ディフェンス技</v>
      </c>
      <c r="B336" s="3" t="str">
        <f ca="1">IFERROR(__xludf.DUMMYFUNCTION("""COMPUTED_VALUE"""),"クイックドロウ")</f>
        <v>クイックドロウ</v>
      </c>
      <c r="C336" s="3" t="str">
        <f ca="1">IFERROR(__xludf.DUMMYFUNCTION("""COMPUTED_VALUE"""),"林")</f>
        <v>林</v>
      </c>
      <c r="D336" s="3">
        <f ca="1">IFERROR(__xludf.DUMMYFUNCTION("""COMPUTED_VALUE"""),50)</f>
        <v>50</v>
      </c>
      <c r="E336" s="3">
        <f ca="1">IFERROR(__xludf.DUMMYFUNCTION("""COMPUTED_VALUE"""),50)</f>
        <v>50</v>
      </c>
      <c r="F336" s="3" t="str">
        <f ca="1">IFERROR(__xludf.DUMMYFUNCTION("""COMPUTED_VALUE"""),"VSストア")</f>
        <v>VSストア</v>
      </c>
      <c r="G336" s="3"/>
    </row>
    <row r="337" spans="1:7" x14ac:dyDescent="0.25">
      <c r="A337" s="3" t="str">
        <f ca="1">IFERROR(__xludf.DUMMYFUNCTION("""COMPUTED_VALUE"""),"ディフェンス技")</f>
        <v>ディフェンス技</v>
      </c>
      <c r="B337" s="3" t="str">
        <f ca="1">IFERROR(__xludf.DUMMYFUNCTION("""COMPUTED_VALUE"""),"フェイクボール")</f>
        <v>フェイクボール</v>
      </c>
      <c r="C337" s="3" t="str">
        <f ca="1">IFERROR(__xludf.DUMMYFUNCTION("""COMPUTED_VALUE"""),"林")</f>
        <v>林</v>
      </c>
      <c r="D337" s="3">
        <f ca="1">IFERROR(__xludf.DUMMYFUNCTION("""COMPUTED_VALUE"""),50)</f>
        <v>50</v>
      </c>
      <c r="E337" s="3">
        <f ca="1">IFERROR(__xludf.DUMMYFUNCTION("""COMPUTED_VALUE"""),50)</f>
        <v>50</v>
      </c>
      <c r="F337" s="3" t="str">
        <f ca="1">IFERROR(__xludf.DUMMYFUNCTION("""COMPUTED_VALUE"""),"秘宝堂")</f>
        <v>秘宝堂</v>
      </c>
      <c r="G337" s="3"/>
    </row>
    <row r="338" spans="1:7" x14ac:dyDescent="0.25">
      <c r="A338" s="3" t="str">
        <f ca="1">IFERROR(__xludf.DUMMYFUNCTION("""COMPUTED_VALUE"""),"ディフェンス技")</f>
        <v>ディフェンス技</v>
      </c>
      <c r="B338" s="3" t="str">
        <f ca="1">IFERROR(__xludf.DUMMYFUNCTION("""COMPUTED_VALUE"""),"四股踏み")</f>
        <v>四股踏み</v>
      </c>
      <c r="C338" s="3" t="str">
        <f ca="1">IFERROR(__xludf.DUMMYFUNCTION("""COMPUTED_VALUE"""),"山")</f>
        <v>山</v>
      </c>
      <c r="D338" s="3">
        <f ca="1">IFERROR(__xludf.DUMMYFUNCTION("""COMPUTED_VALUE"""),50)</f>
        <v>50</v>
      </c>
      <c r="E338" s="3">
        <f ca="1">IFERROR(__xludf.DUMMYFUNCTION("""COMPUTED_VALUE"""),50)</f>
        <v>50</v>
      </c>
      <c r="F338" s="3" t="str">
        <f ca="1">IFERROR(__xludf.DUMMYFUNCTION("""COMPUTED_VALUE"""),"秘宝堂")</f>
        <v>秘宝堂</v>
      </c>
      <c r="G338" s="3"/>
    </row>
    <row r="339" spans="1:7" x14ac:dyDescent="0.25">
      <c r="A339" s="3" t="str">
        <f ca="1">IFERROR(__xludf.DUMMYFUNCTION("""COMPUTED_VALUE"""),"ディフェンス技")</f>
        <v>ディフェンス技</v>
      </c>
      <c r="B339" s="3" t="str">
        <f ca="1">IFERROR(__xludf.DUMMYFUNCTION("""COMPUTED_VALUE"""),"スピニングカット")</f>
        <v>スピニングカット</v>
      </c>
      <c r="C339" s="3" t="str">
        <f ca="1">IFERROR(__xludf.DUMMYFUNCTION("""COMPUTED_VALUE"""),"風")</f>
        <v>風</v>
      </c>
      <c r="D339" s="3">
        <f ca="1">IFERROR(__xludf.DUMMYFUNCTION("""COMPUTED_VALUE"""),50)</f>
        <v>50</v>
      </c>
      <c r="E339" s="3">
        <f ca="1">IFERROR(__xludf.DUMMYFUNCTION("""COMPUTED_VALUE"""),50)</f>
        <v>50</v>
      </c>
      <c r="F339" s="3" t="str">
        <f ca="1">IFERROR(__xludf.DUMMYFUNCTION("""COMPUTED_VALUE"""),"特訓ショップ")</f>
        <v>特訓ショップ</v>
      </c>
      <c r="G339" s="3" t="str">
        <f ca="1">IFERROR(__xludf.DUMMYFUNCTION("""COMPUTED_VALUE"""),"シュートブロック")</f>
        <v>シュートブロック</v>
      </c>
    </row>
    <row r="340" spans="1:7" x14ac:dyDescent="0.25">
      <c r="A340" s="3" t="str">
        <f ca="1">IFERROR(__xludf.DUMMYFUNCTION("""COMPUTED_VALUE"""),"ディフェンス技")</f>
        <v>ディフェンス技</v>
      </c>
      <c r="B340" s="3" t="str">
        <f ca="1">IFERROR(__xludf.DUMMYFUNCTION("""COMPUTED_VALUE"""),"ブレードアタック")</f>
        <v>ブレードアタック</v>
      </c>
      <c r="C340" s="3" t="str">
        <f ca="1">IFERROR(__xludf.DUMMYFUNCTION("""COMPUTED_VALUE"""),"風")</f>
        <v>風</v>
      </c>
      <c r="D340" s="3">
        <f ca="1">IFERROR(__xludf.DUMMYFUNCTION("""COMPUTED_VALUE"""),50)</f>
        <v>50</v>
      </c>
      <c r="E340" s="3">
        <f ca="1">IFERROR(__xludf.DUMMYFUNCTION("""COMPUTED_VALUE"""),50)</f>
        <v>50</v>
      </c>
      <c r="F340" s="3" t="str">
        <f ca="1">IFERROR(__xludf.DUMMYFUNCTION("""COMPUTED_VALUE"""),"秘宝堂")</f>
        <v>秘宝堂</v>
      </c>
      <c r="G340" s="3"/>
    </row>
    <row r="341" spans="1:7" x14ac:dyDescent="0.25">
      <c r="A341" s="3" t="str">
        <f ca="1">IFERROR(__xludf.DUMMYFUNCTION("""COMPUTED_VALUE"""),"ディフェンス技")</f>
        <v>ディフェンス技</v>
      </c>
      <c r="B341" s="3" t="str">
        <f ca="1">IFERROR(__xludf.DUMMYFUNCTION("""COMPUTED_VALUE"""),"プロファイルゾーン")</f>
        <v>プロファイルゾーン</v>
      </c>
      <c r="C341" s="3" t="str">
        <f ca="1">IFERROR(__xludf.DUMMYFUNCTION("""COMPUTED_VALUE"""),"風")</f>
        <v>風</v>
      </c>
      <c r="D341" s="3">
        <f ca="1">IFERROR(__xludf.DUMMYFUNCTION("""COMPUTED_VALUE"""),50)</f>
        <v>50</v>
      </c>
      <c r="E341" s="3">
        <f ca="1">IFERROR(__xludf.DUMMYFUNCTION("""COMPUTED_VALUE"""),50)</f>
        <v>50</v>
      </c>
      <c r="F341" s="3" t="str">
        <f ca="1">IFERROR(__xludf.DUMMYFUNCTION("""COMPUTED_VALUE"""),"秘宝堂")</f>
        <v>秘宝堂</v>
      </c>
      <c r="G341" s="3"/>
    </row>
    <row r="342" spans="1:7" x14ac:dyDescent="0.25">
      <c r="A342" s="3" t="str">
        <f ca="1">IFERROR(__xludf.DUMMYFUNCTION("""COMPUTED_VALUE"""),"ディフェンス技")</f>
        <v>ディフェンス技</v>
      </c>
      <c r="B342" s="3" t="str">
        <f ca="1">IFERROR(__xludf.DUMMYFUNCTION("""COMPUTED_VALUE"""),"ダッシュトレイン")</f>
        <v>ダッシュトレイン</v>
      </c>
      <c r="C342" s="3" t="str">
        <f ca="1">IFERROR(__xludf.DUMMYFUNCTION("""COMPUTED_VALUE"""),"火")</f>
        <v>火</v>
      </c>
      <c r="D342" s="3">
        <f ca="1">IFERROR(__xludf.DUMMYFUNCTION("""COMPUTED_VALUE"""),50)</f>
        <v>50</v>
      </c>
      <c r="E342" s="3">
        <f ca="1">IFERROR(__xludf.DUMMYFUNCTION("""COMPUTED_VALUE"""),50)</f>
        <v>50</v>
      </c>
      <c r="F342" s="3" t="str">
        <f ca="1">IFERROR(__xludf.DUMMYFUNCTION("""COMPUTED_VALUE"""),"クロニクル百貨店")</f>
        <v>クロニクル百貨店</v>
      </c>
      <c r="G342" s="3"/>
    </row>
    <row r="343" spans="1:7" x14ac:dyDescent="0.25">
      <c r="A343" s="3" t="str">
        <f ca="1">IFERROR(__xludf.DUMMYFUNCTION("""COMPUTED_VALUE"""),"ディフェンス技")</f>
        <v>ディフェンス技</v>
      </c>
      <c r="B343" s="3" t="str">
        <f ca="1">IFERROR(__xludf.DUMMYFUNCTION("""COMPUTED_VALUE"""),"シーフ・アイ")</f>
        <v>シーフ・アイ</v>
      </c>
      <c r="C343" s="3" t="str">
        <f ca="1">IFERROR(__xludf.DUMMYFUNCTION("""COMPUTED_VALUE"""),"林")</f>
        <v>林</v>
      </c>
      <c r="D343" s="3">
        <f ca="1">IFERROR(__xludf.DUMMYFUNCTION("""COMPUTED_VALUE"""),50)</f>
        <v>50</v>
      </c>
      <c r="E343" s="3">
        <f ca="1">IFERROR(__xludf.DUMMYFUNCTION("""COMPUTED_VALUE"""),50)</f>
        <v>50</v>
      </c>
      <c r="F343" s="3" t="str">
        <f ca="1">IFERROR(__xludf.DUMMYFUNCTION("""COMPUTED_VALUE"""),"秘宝堂")</f>
        <v>秘宝堂</v>
      </c>
      <c r="G343" s="3"/>
    </row>
    <row r="344" spans="1:7" x14ac:dyDescent="0.25">
      <c r="A344" s="3" t="str">
        <f ca="1">IFERROR(__xludf.DUMMYFUNCTION("""COMPUTED_VALUE"""),"ディフェンス技")</f>
        <v>ディフェンス技</v>
      </c>
      <c r="B344" s="3" t="str">
        <f ca="1">IFERROR(__xludf.DUMMYFUNCTION("""COMPUTED_VALUE"""),"スパイラルドロー")</f>
        <v>スパイラルドロー</v>
      </c>
      <c r="C344" s="3" t="str">
        <f ca="1">IFERROR(__xludf.DUMMYFUNCTION("""COMPUTED_VALUE"""),"風")</f>
        <v>風</v>
      </c>
      <c r="D344" s="3">
        <f ca="1">IFERROR(__xludf.DUMMYFUNCTION("""COMPUTED_VALUE"""),50)</f>
        <v>50</v>
      </c>
      <c r="E344" s="3">
        <f ca="1">IFERROR(__xludf.DUMMYFUNCTION("""COMPUTED_VALUE"""),50)</f>
        <v>50</v>
      </c>
      <c r="F344" s="3" t="str">
        <f ca="1">IFERROR(__xludf.DUMMYFUNCTION("""COMPUTED_VALUE"""),"特訓ショップ")</f>
        <v>特訓ショップ</v>
      </c>
      <c r="G344" s="3"/>
    </row>
    <row r="345" spans="1:7" x14ac:dyDescent="0.25">
      <c r="A345" s="3" t="str">
        <f ca="1">IFERROR(__xludf.DUMMYFUNCTION("""COMPUTED_VALUE"""),"ディフェンス技")</f>
        <v>ディフェンス技</v>
      </c>
      <c r="B345" s="3" t="str">
        <f ca="1">IFERROR(__xludf.DUMMYFUNCTION("""COMPUTED_VALUE"""),"マグネットドロー")</f>
        <v>マグネットドロー</v>
      </c>
      <c r="C345" s="3" t="str">
        <f ca="1">IFERROR(__xludf.DUMMYFUNCTION("""COMPUTED_VALUE"""),"林")</f>
        <v>林</v>
      </c>
      <c r="D345" s="3">
        <f ca="1">IFERROR(__xludf.DUMMYFUNCTION("""COMPUTED_VALUE"""),50)</f>
        <v>50</v>
      </c>
      <c r="E345" s="3">
        <f ca="1">IFERROR(__xludf.DUMMYFUNCTION("""COMPUTED_VALUE"""),50)</f>
        <v>50</v>
      </c>
      <c r="F345" s="3" t="str">
        <f ca="1">IFERROR(__xludf.DUMMYFUNCTION("""COMPUTED_VALUE"""),"秘宝堂")</f>
        <v>秘宝堂</v>
      </c>
      <c r="G345" s="3"/>
    </row>
    <row r="346" spans="1:7" x14ac:dyDescent="0.25">
      <c r="A346" s="3" t="str">
        <f ca="1">IFERROR(__xludf.DUMMYFUNCTION("""COMPUTED_VALUE"""),"ディフェンス技")</f>
        <v>ディフェンス技</v>
      </c>
      <c r="B346" s="3" t="str">
        <f ca="1">IFERROR(__xludf.DUMMYFUNCTION("""COMPUTED_VALUE"""),"ブリッツブリッジ")</f>
        <v>ブリッツブリッジ</v>
      </c>
      <c r="C346" s="3" t="str">
        <f ca="1">IFERROR(__xludf.DUMMYFUNCTION("""COMPUTED_VALUE"""),"無")</f>
        <v>無</v>
      </c>
      <c r="D346" s="3">
        <f ca="1">IFERROR(__xludf.DUMMYFUNCTION("""COMPUTED_VALUE"""),50)</f>
        <v>50</v>
      </c>
      <c r="E346" s="3">
        <f ca="1">IFERROR(__xludf.DUMMYFUNCTION("""COMPUTED_VALUE"""),50)</f>
        <v>50</v>
      </c>
      <c r="F346" s="3" t="str">
        <f ca="1">IFERROR(__xludf.DUMMYFUNCTION("""COMPUTED_VALUE"""),"秘宝堂")</f>
        <v>秘宝堂</v>
      </c>
      <c r="G346" s="3"/>
    </row>
    <row r="347" spans="1:7" x14ac:dyDescent="0.25">
      <c r="A347" s="3" t="str">
        <f ca="1">IFERROR(__xludf.DUMMYFUNCTION("""COMPUTED_VALUE"""),"ディフェンス技")</f>
        <v>ディフェンス技</v>
      </c>
      <c r="B347" s="3" t="str">
        <f ca="1">IFERROR(__xludf.DUMMYFUNCTION("""COMPUTED_VALUE"""),"ザ・マトリックス")</f>
        <v>ザ・マトリックス</v>
      </c>
      <c r="C347" s="3" t="str">
        <f ca="1">IFERROR(__xludf.DUMMYFUNCTION("""COMPUTED_VALUE"""),"林")</f>
        <v>林</v>
      </c>
      <c r="D347" s="3">
        <f ca="1">IFERROR(__xludf.DUMMYFUNCTION("""COMPUTED_VALUE"""),50)</f>
        <v>50</v>
      </c>
      <c r="E347" s="3">
        <f ca="1">IFERROR(__xludf.DUMMYFUNCTION("""COMPUTED_VALUE"""),50)</f>
        <v>50</v>
      </c>
      <c r="F347" s="3" t="str">
        <f ca="1">IFERROR(__xludf.DUMMYFUNCTION("""COMPUTED_VALUE"""),"特訓ショップ")</f>
        <v>特訓ショップ</v>
      </c>
      <c r="G347" s="3"/>
    </row>
    <row r="348" spans="1:7" x14ac:dyDescent="0.25">
      <c r="A348" s="3" t="str">
        <f ca="1">IFERROR(__xludf.DUMMYFUNCTION("""COMPUTED_VALUE"""),"ディフェンス技")</f>
        <v>ディフェンス技</v>
      </c>
      <c r="B348" s="3" t="str">
        <f ca="1">IFERROR(__xludf.DUMMYFUNCTION("""COMPUTED_VALUE"""),"ロックハンマー")</f>
        <v>ロックハンマー</v>
      </c>
      <c r="C348" s="3" t="str">
        <f ca="1">IFERROR(__xludf.DUMMYFUNCTION("""COMPUTED_VALUE"""),"山")</f>
        <v>山</v>
      </c>
      <c r="D348" s="3">
        <f ca="1">IFERROR(__xludf.DUMMYFUNCTION("""COMPUTED_VALUE"""),45)</f>
        <v>45</v>
      </c>
      <c r="E348" s="3">
        <f ca="1">IFERROR(__xludf.DUMMYFUNCTION("""COMPUTED_VALUE"""),45)</f>
        <v>45</v>
      </c>
      <c r="F348" s="3" t="str">
        <f ca="1">IFERROR(__xludf.DUMMYFUNCTION("""COMPUTED_VALUE"""),"秘宝堂")</f>
        <v>秘宝堂</v>
      </c>
      <c r="G348" s="3"/>
    </row>
    <row r="349" spans="1:7" x14ac:dyDescent="0.25">
      <c r="A349" s="3" t="str">
        <f ca="1">IFERROR(__xludf.DUMMYFUNCTION("""COMPUTED_VALUE"""),"ディフェンス技")</f>
        <v>ディフェンス技</v>
      </c>
      <c r="B349" s="3" t="str">
        <f ca="1">IFERROR(__xludf.DUMMYFUNCTION("""COMPUTED_VALUE"""),"フェイントプレイ")</f>
        <v>フェイントプレイ</v>
      </c>
      <c r="C349" s="3" t="str">
        <f ca="1">IFERROR(__xludf.DUMMYFUNCTION("""COMPUTED_VALUE"""),"リアルスキル")</f>
        <v>リアルスキル</v>
      </c>
      <c r="D349" s="3">
        <f ca="1">IFERROR(__xludf.DUMMYFUNCTION("""COMPUTED_VALUE"""),30)</f>
        <v>30</v>
      </c>
      <c r="E349" s="3">
        <f ca="1">IFERROR(__xludf.DUMMYFUNCTION("""COMPUTED_VALUE"""),30)</f>
        <v>30</v>
      </c>
      <c r="F349" s="3" t="str">
        <f ca="1">IFERROR(__xludf.DUMMYFUNCTION("""COMPUTED_VALUE"""),"特訓ショップ")</f>
        <v>特訓ショップ</v>
      </c>
      <c r="G349" s="3"/>
    </row>
    <row r="350" spans="1:7" x14ac:dyDescent="0.25">
      <c r="A350" s="3" t="str">
        <f ca="1">IFERROR(__xludf.DUMMYFUNCTION("""COMPUTED_VALUE"""),"ディフェンス技")</f>
        <v>ディフェンス技</v>
      </c>
      <c r="B350" s="3" t="str">
        <f ca="1">IFERROR(__xludf.DUMMYFUNCTION("""COMPUTED_VALUE"""),"ショルダーチャージ")</f>
        <v>ショルダーチャージ</v>
      </c>
      <c r="C350" s="3" t="str">
        <f ca="1">IFERROR(__xludf.DUMMYFUNCTION("""COMPUTED_VALUE"""),"リアルスキル")</f>
        <v>リアルスキル</v>
      </c>
      <c r="D350" s="3">
        <f ca="1">IFERROR(__xludf.DUMMYFUNCTION("""COMPUTED_VALUE"""),30)</f>
        <v>30</v>
      </c>
      <c r="E350" s="3">
        <f ca="1">IFERROR(__xludf.DUMMYFUNCTION("""COMPUTED_VALUE"""),30)</f>
        <v>30</v>
      </c>
      <c r="F350" s="3" t="str">
        <f ca="1">IFERROR(__xludf.DUMMYFUNCTION("""COMPUTED_VALUE"""),"特訓ショップ")</f>
        <v>特訓ショップ</v>
      </c>
      <c r="G350" s="3"/>
    </row>
    <row r="351" spans="1:7" x14ac:dyDescent="0.25">
      <c r="A351" s="3" t="str">
        <f ca="1">IFERROR(__xludf.DUMMYFUNCTION("""COMPUTED_VALUE"""),"ディフェンス技")</f>
        <v>ディフェンス技</v>
      </c>
      <c r="B351" s="3" t="str">
        <f ca="1">IFERROR(__xludf.DUMMYFUNCTION("""COMPUTED_VALUE"""),"トリックカット")</f>
        <v>トリックカット</v>
      </c>
      <c r="C351" s="3" t="str">
        <f ca="1">IFERROR(__xludf.DUMMYFUNCTION("""COMPUTED_VALUE"""),"リアルスキル")</f>
        <v>リアルスキル</v>
      </c>
      <c r="D351" s="3">
        <f ca="1">IFERROR(__xludf.DUMMYFUNCTION("""COMPUTED_VALUE"""),30)</f>
        <v>30</v>
      </c>
      <c r="E351" s="3">
        <f ca="1">IFERROR(__xludf.DUMMYFUNCTION("""COMPUTED_VALUE"""),30)</f>
        <v>30</v>
      </c>
      <c r="F351" s="3" t="str">
        <f ca="1">IFERROR(__xludf.DUMMYFUNCTION("""COMPUTED_VALUE"""),"特訓ショップ")</f>
        <v>特訓ショップ</v>
      </c>
      <c r="G351" s="3"/>
    </row>
    <row r="352" spans="1:7" x14ac:dyDescent="0.25">
      <c r="A352" s="3" t="str">
        <f ca="1">IFERROR(__xludf.DUMMYFUNCTION("""COMPUTED_VALUE"""),"ディフェンス技")</f>
        <v>ディフェンス技</v>
      </c>
      <c r="B352" s="3" t="str">
        <f ca="1">IFERROR(__xludf.DUMMYFUNCTION("""COMPUTED_VALUE"""),"ひっぱりカット")</f>
        <v>ひっぱりカット</v>
      </c>
      <c r="C352" s="3" t="str">
        <f ca="1">IFERROR(__xludf.DUMMYFUNCTION("""COMPUTED_VALUE"""),"リアルスキル")</f>
        <v>リアルスキル</v>
      </c>
      <c r="D352" s="3">
        <f ca="1">IFERROR(__xludf.DUMMYFUNCTION("""COMPUTED_VALUE"""),30)</f>
        <v>30</v>
      </c>
      <c r="E352" s="3">
        <f ca="1">IFERROR(__xludf.DUMMYFUNCTION("""COMPUTED_VALUE"""),30)</f>
        <v>30</v>
      </c>
      <c r="F352" s="3" t="str">
        <f ca="1">IFERROR(__xludf.DUMMYFUNCTION("""COMPUTED_VALUE"""),"特訓ショップ")</f>
        <v>特訓ショップ</v>
      </c>
      <c r="G352" s="3"/>
    </row>
    <row r="353" spans="1:7" x14ac:dyDescent="0.25">
      <c r="A353" s="3" t="str">
        <f ca="1">IFERROR(__xludf.DUMMYFUNCTION("""COMPUTED_VALUE"""),"ディフェンス技")</f>
        <v>ディフェンス技</v>
      </c>
      <c r="B353" s="3" t="str">
        <f ca="1">IFERROR(__xludf.DUMMYFUNCTION("""COMPUTED_VALUE"""),"ローリングカット")</f>
        <v>ローリングカット</v>
      </c>
      <c r="C353" s="3" t="str">
        <f ca="1">IFERROR(__xludf.DUMMYFUNCTION("""COMPUTED_VALUE"""),"リアルスキル")</f>
        <v>リアルスキル</v>
      </c>
      <c r="D353" s="3">
        <f ca="1">IFERROR(__xludf.DUMMYFUNCTION("""COMPUTED_VALUE"""),30)</f>
        <v>30</v>
      </c>
      <c r="E353" s="3">
        <f ca="1">IFERROR(__xludf.DUMMYFUNCTION("""COMPUTED_VALUE"""),30)</f>
        <v>30</v>
      </c>
      <c r="F353" s="3" t="str">
        <f ca="1">IFERROR(__xludf.DUMMYFUNCTION("""COMPUTED_VALUE"""),"特訓ショップ")</f>
        <v>特訓ショップ</v>
      </c>
      <c r="G353" s="3"/>
    </row>
    <row r="354" spans="1:7" x14ac:dyDescent="0.25">
      <c r="A354" s="3" t="str">
        <f ca="1">IFERROR(__xludf.DUMMYFUNCTION("""COMPUTED_VALUE"""),"ディフェンス技")</f>
        <v>ディフェンス技</v>
      </c>
      <c r="B354" s="3" t="str">
        <f ca="1">IFERROR(__xludf.DUMMYFUNCTION("""COMPUTED_VALUE"""),"古代の翼")</f>
        <v>古代の翼</v>
      </c>
      <c r="C354" s="3" t="str">
        <f ca="1">IFERROR(__xludf.DUMMYFUNCTION("""COMPUTED_VALUE"""),"風")</f>
        <v>風</v>
      </c>
      <c r="D354" s="3"/>
      <c r="E354" s="3"/>
      <c r="F354" s="3"/>
      <c r="G354" s="3"/>
    </row>
    <row r="355" spans="1:7" x14ac:dyDescent="0.25">
      <c r="A355" s="3" t="str">
        <f ca="1">IFERROR(__xludf.DUMMYFUNCTION("""COMPUTED_VALUE"""),"ディフェンス技")</f>
        <v>ディフェンス技</v>
      </c>
      <c r="B355" s="3" t="str">
        <f ca="1">IFERROR(__xludf.DUMMYFUNCTION("""COMPUTED_VALUE"""),"ラ・フラム")</f>
        <v>ラ・フラム</v>
      </c>
      <c r="C355" s="3" t="str">
        <f ca="1">IFERROR(__xludf.DUMMYFUNCTION("""COMPUTED_VALUE"""),"火")</f>
        <v>火</v>
      </c>
      <c r="D355" s="3"/>
      <c r="E355" s="3"/>
      <c r="F355" s="3"/>
      <c r="G355" s="3" t="str">
        <f ca="1">IFERROR(__xludf.DUMMYFUNCTION("""COMPUTED_VALUE"""),"シュートブロック")</f>
        <v>シュートブロック</v>
      </c>
    </row>
    <row r="356" spans="1:7" x14ac:dyDescent="0.25">
      <c r="A356" s="3" t="str">
        <f ca="1">IFERROR(__xludf.DUMMYFUNCTION("""COMPUTED_VALUE"""),"キーパー技")</f>
        <v>キーパー技</v>
      </c>
      <c r="B356" s="3" t="str">
        <f ca="1">IFERROR(__xludf.DUMMYFUNCTION("""COMPUTED_VALUE"""),"タマシイ・ザ・ハンド")</f>
        <v>タマシイ・ザ・ハンド</v>
      </c>
      <c r="C356" s="3" t="str">
        <f ca="1">IFERROR(__xludf.DUMMYFUNCTION("""COMPUTED_VALUE"""),"火")</f>
        <v>火</v>
      </c>
      <c r="D356" s="3">
        <f ca="1">IFERROR(__xludf.DUMMYFUNCTION("""COMPUTED_VALUE"""),100)</f>
        <v>100</v>
      </c>
      <c r="E356" s="3">
        <f ca="1">IFERROR(__xludf.DUMMYFUNCTION("""COMPUTED_VALUE"""),100)</f>
        <v>100</v>
      </c>
      <c r="F356" s="3" t="str">
        <f ca="1">IFERROR(__xludf.DUMMYFUNCTION("""COMPUTED_VALUE"""),"スピリット交換所")</f>
        <v>スピリット交換所</v>
      </c>
      <c r="G356" s="3"/>
    </row>
    <row r="357" spans="1:7" x14ac:dyDescent="0.25">
      <c r="A357" s="3" t="str">
        <f ca="1">IFERROR(__xludf.DUMMYFUNCTION("""COMPUTED_VALUE"""),"キーパー技")</f>
        <v>キーパー技</v>
      </c>
      <c r="B357" s="3" t="str">
        <f ca="1">IFERROR(__xludf.DUMMYFUNCTION("""COMPUTED_VALUE"""),"魔王・ザ・ハンド")</f>
        <v>魔王・ザ・ハンド</v>
      </c>
      <c r="C357" s="3" t="str">
        <f ca="1">IFERROR(__xludf.DUMMYFUNCTION("""COMPUTED_VALUE"""),"林")</f>
        <v>林</v>
      </c>
      <c r="D357" s="3">
        <f ca="1">IFERROR(__xludf.DUMMYFUNCTION("""COMPUTED_VALUE"""),100)</f>
        <v>100</v>
      </c>
      <c r="E357" s="3">
        <f ca="1">IFERROR(__xludf.DUMMYFUNCTION("""COMPUTED_VALUE"""),100)</f>
        <v>100</v>
      </c>
      <c r="F357" s="3" t="str">
        <f ca="1">IFERROR(__xludf.DUMMYFUNCTION("""COMPUTED_VALUE"""),"スピリット交換所")</f>
        <v>スピリット交換所</v>
      </c>
      <c r="G357" s="3"/>
    </row>
    <row r="358" spans="1:7" x14ac:dyDescent="0.25">
      <c r="A358" s="3" t="str">
        <f ca="1">IFERROR(__xludf.DUMMYFUNCTION("""COMPUTED_VALUE"""),"キーパー技")</f>
        <v>キーパー技</v>
      </c>
      <c r="B358" s="3" t="str">
        <f ca="1">IFERROR(__xludf.DUMMYFUNCTION("""COMPUTED_VALUE"""),"ゴッドキャッチ")</f>
        <v>ゴッドキャッチ</v>
      </c>
      <c r="C358" s="3" t="str">
        <f ca="1">IFERROR(__xludf.DUMMYFUNCTION("""COMPUTED_VALUE"""),"山")</f>
        <v>山</v>
      </c>
      <c r="D358" s="3">
        <f ca="1">IFERROR(__xludf.DUMMYFUNCTION("""COMPUTED_VALUE"""),100)</f>
        <v>100</v>
      </c>
      <c r="E358" s="3">
        <f ca="1">IFERROR(__xludf.DUMMYFUNCTION("""COMPUTED_VALUE"""),100)</f>
        <v>100</v>
      </c>
      <c r="F358" s="3" t="str">
        <f ca="1">IFERROR(__xludf.DUMMYFUNCTION("""COMPUTED_VALUE"""),"スピリット交換所")</f>
        <v>スピリット交換所</v>
      </c>
      <c r="G358" s="3"/>
    </row>
    <row r="359" spans="1:7" x14ac:dyDescent="0.25">
      <c r="A359" s="3" t="str">
        <f ca="1">IFERROR(__xludf.DUMMYFUNCTION("""COMPUTED_VALUE"""),"キーパー技")</f>
        <v>キーパー技</v>
      </c>
      <c r="B359" s="3" t="str">
        <f ca="1">IFERROR(__xludf.DUMMYFUNCTION("""COMPUTED_VALUE"""),"ハイボルテージ")</f>
        <v>ハイボルテージ</v>
      </c>
      <c r="C359" s="3" t="str">
        <f ca="1">IFERROR(__xludf.DUMMYFUNCTION("""COMPUTED_VALUE"""),"風")</f>
        <v>風</v>
      </c>
      <c r="D359" s="3">
        <f ca="1">IFERROR(__xludf.DUMMYFUNCTION("""COMPUTED_VALUE"""),100)</f>
        <v>100</v>
      </c>
      <c r="E359" s="3">
        <f ca="1">IFERROR(__xludf.DUMMYFUNCTION("""COMPUTED_VALUE"""),100)</f>
        <v>100</v>
      </c>
      <c r="F359" s="3" t="str">
        <f ca="1">IFERROR(__xludf.DUMMYFUNCTION("""COMPUTED_VALUE"""),"ボックス")</f>
        <v>ボックス</v>
      </c>
      <c r="G359" s="3" t="str">
        <f ca="1">IFERROR(__xludf.DUMMYFUNCTION("""COMPUTED_VALUE"""),"パンチング")</f>
        <v>パンチング</v>
      </c>
    </row>
    <row r="360" spans="1:7" x14ac:dyDescent="0.25">
      <c r="A360" s="3" t="str">
        <f ca="1">IFERROR(__xludf.DUMMYFUNCTION("""COMPUTED_VALUE"""),"キーパー技")</f>
        <v>キーパー技</v>
      </c>
      <c r="B360" s="3" t="str">
        <f ca="1">IFERROR(__xludf.DUMMYFUNCTION("""COMPUTED_VALUE"""),"オメガ・ザ・ハンド")</f>
        <v>オメガ・ザ・ハンド</v>
      </c>
      <c r="C360" s="3" t="str">
        <f ca="1">IFERROR(__xludf.DUMMYFUNCTION("""COMPUTED_VALUE"""),"山")</f>
        <v>山</v>
      </c>
      <c r="D360" s="3">
        <f ca="1">IFERROR(__xludf.DUMMYFUNCTION("""COMPUTED_VALUE"""),100)</f>
        <v>100</v>
      </c>
      <c r="E360" s="3">
        <f ca="1">IFERROR(__xludf.DUMMYFUNCTION("""COMPUTED_VALUE"""),100)</f>
        <v>100</v>
      </c>
      <c r="F360" s="3" t="str">
        <f ca="1">IFERROR(__xludf.DUMMYFUNCTION("""COMPUTED_VALUE"""),"ボックス")</f>
        <v>ボックス</v>
      </c>
      <c r="G360" s="3"/>
    </row>
    <row r="361" spans="1:7" x14ac:dyDescent="0.25">
      <c r="A361" s="3" t="str">
        <f ca="1">IFERROR(__xludf.DUMMYFUNCTION("""COMPUTED_VALUE"""),"キーパー技")</f>
        <v>キーパー技</v>
      </c>
      <c r="B361" s="3" t="str">
        <f ca="1">IFERROR(__xludf.DUMMYFUNCTION("""COMPUTED_VALUE"""),"女神大陸")</f>
        <v>女神大陸</v>
      </c>
      <c r="C361" s="3" t="str">
        <f ca="1">IFERROR(__xludf.DUMMYFUNCTION("""COMPUTED_VALUE"""),"林")</f>
        <v>林</v>
      </c>
      <c r="D361" s="3">
        <f ca="1">IFERROR(__xludf.DUMMYFUNCTION("""COMPUTED_VALUE"""),100)</f>
        <v>100</v>
      </c>
      <c r="E361" s="3">
        <f ca="1">IFERROR(__xludf.DUMMYFUNCTION("""COMPUTED_VALUE"""),100)</f>
        <v>100</v>
      </c>
      <c r="F361" s="3" t="str">
        <f ca="1">IFERROR(__xludf.DUMMYFUNCTION("""COMPUTED_VALUE"""),"特訓ショップ")</f>
        <v>特訓ショップ</v>
      </c>
      <c r="G361" s="3"/>
    </row>
    <row r="362" spans="1:7" x14ac:dyDescent="0.25">
      <c r="A362" s="3" t="str">
        <f ca="1">IFERROR(__xludf.DUMMYFUNCTION("""COMPUTED_VALUE"""),"キーパー技")</f>
        <v>キーパー技</v>
      </c>
      <c r="B362" s="3" t="str">
        <f ca="1">IFERROR(__xludf.DUMMYFUNCTION("""COMPUTED_VALUE"""),"ゴッドフィンガーズ")</f>
        <v>ゴッドフィンガーズ</v>
      </c>
      <c r="C362" s="3" t="str">
        <f ca="1">IFERROR(__xludf.DUMMYFUNCTION("""COMPUTED_VALUE"""),"風")</f>
        <v>風</v>
      </c>
      <c r="D362" s="3">
        <f ca="1">IFERROR(__xludf.DUMMYFUNCTION("""COMPUTED_VALUE"""),100)</f>
        <v>100</v>
      </c>
      <c r="E362" s="3">
        <f ca="1">IFERROR(__xludf.DUMMYFUNCTION("""COMPUTED_VALUE"""),100)</f>
        <v>100</v>
      </c>
      <c r="F362" s="3" t="str">
        <f ca="1">IFERROR(__xludf.DUMMYFUNCTION("""COMPUTED_VALUE"""),"特訓ショップ")</f>
        <v>特訓ショップ</v>
      </c>
      <c r="G362" s="3"/>
    </row>
    <row r="363" spans="1:7" x14ac:dyDescent="0.25">
      <c r="A363" s="3" t="str">
        <f ca="1">IFERROR(__xludf.DUMMYFUNCTION("""COMPUTED_VALUE"""),"キーパー技")</f>
        <v>キーパー技</v>
      </c>
      <c r="B363" s="3" t="str">
        <f ca="1">IFERROR(__xludf.DUMMYFUNCTION("""COMPUTED_VALUE"""),"マジン・ザ・ハンド")</f>
        <v>マジン・ザ・ハンド</v>
      </c>
      <c r="C363" s="3" t="str">
        <f ca="1">IFERROR(__xludf.DUMMYFUNCTION("""COMPUTED_VALUE"""),"山")</f>
        <v>山</v>
      </c>
      <c r="D363" s="3">
        <f ca="1">IFERROR(__xludf.DUMMYFUNCTION("""COMPUTED_VALUE"""),85)</f>
        <v>85</v>
      </c>
      <c r="E363" s="3">
        <f ca="1">IFERROR(__xludf.DUMMYFUNCTION("""COMPUTED_VALUE"""),80)</f>
        <v>80</v>
      </c>
      <c r="F363" s="3" t="str">
        <f ca="1">IFERROR(__xludf.DUMMYFUNCTION("""COMPUTED_VALUE"""),"クロニクル百貨店")</f>
        <v>クロニクル百貨店</v>
      </c>
      <c r="G363" s="3"/>
    </row>
    <row r="364" spans="1:7" x14ac:dyDescent="0.25">
      <c r="A364" s="3" t="str">
        <f ca="1">IFERROR(__xludf.DUMMYFUNCTION("""COMPUTED_VALUE"""),"キーパー技")</f>
        <v>キーパー技</v>
      </c>
      <c r="B364" s="3" t="str">
        <f ca="1">IFERROR(__xludf.DUMMYFUNCTION("""COMPUTED_VALUE"""),"無限の壁")</f>
        <v>無限の壁</v>
      </c>
      <c r="C364" s="3" t="str">
        <f ca="1">IFERROR(__xludf.DUMMYFUNCTION("""COMPUTED_VALUE"""),"山")</f>
        <v>山</v>
      </c>
      <c r="D364" s="3">
        <f ca="1">IFERROR(__xludf.DUMMYFUNCTION("""COMPUTED_VALUE"""),85)</f>
        <v>85</v>
      </c>
      <c r="E364" s="3">
        <f ca="1">IFERROR(__xludf.DUMMYFUNCTION("""COMPUTED_VALUE"""),80)</f>
        <v>80</v>
      </c>
      <c r="F364" s="3" t="str">
        <f ca="1">IFERROR(__xludf.DUMMYFUNCTION("""COMPUTED_VALUE"""),"クロニクル百貨店")</f>
        <v>クロニクル百貨店</v>
      </c>
      <c r="G364" s="3"/>
    </row>
    <row r="365" spans="1:7" x14ac:dyDescent="0.25">
      <c r="A365" s="3" t="str">
        <f ca="1">IFERROR(__xludf.DUMMYFUNCTION("""COMPUTED_VALUE"""),"キーパー技")</f>
        <v>キーパー技</v>
      </c>
      <c r="B365" s="3" t="str">
        <f ca="1">IFERROR(__xludf.DUMMYFUNCTION("""COMPUTED_VALUE"""),"ムゲン・ザ・ハンド")</f>
        <v>ムゲン・ザ・ハンド</v>
      </c>
      <c r="C365" s="3" t="str">
        <f ca="1">IFERROR(__xludf.DUMMYFUNCTION("""COMPUTED_VALUE"""),"林")</f>
        <v>林</v>
      </c>
      <c r="D365" s="3">
        <f ca="1">IFERROR(__xludf.DUMMYFUNCTION("""COMPUTED_VALUE"""),85)</f>
        <v>85</v>
      </c>
      <c r="E365" s="3">
        <f ca="1">IFERROR(__xludf.DUMMYFUNCTION("""COMPUTED_VALUE"""),80)</f>
        <v>80</v>
      </c>
      <c r="F365" s="3" t="str">
        <f ca="1">IFERROR(__xludf.DUMMYFUNCTION("""COMPUTED_VALUE"""),"クロニクル百貨店")</f>
        <v>クロニクル百貨店</v>
      </c>
      <c r="G365" s="3"/>
    </row>
    <row r="366" spans="1:7" x14ac:dyDescent="0.25">
      <c r="A366" s="3" t="str">
        <f ca="1">IFERROR(__xludf.DUMMYFUNCTION("""COMPUTED_VALUE"""),"キーパー技")</f>
        <v>キーパー技</v>
      </c>
      <c r="B366" s="3" t="str">
        <f ca="1">IFERROR(__xludf.DUMMYFUNCTION("""COMPUTED_VALUE"""),"ビーストファング")</f>
        <v>ビーストファング</v>
      </c>
      <c r="C366" s="3" t="str">
        <f ca="1">IFERROR(__xludf.DUMMYFUNCTION("""COMPUTED_VALUE"""),"火")</f>
        <v>火</v>
      </c>
      <c r="D366" s="3">
        <f ca="1">IFERROR(__xludf.DUMMYFUNCTION("""COMPUTED_VALUE"""),85)</f>
        <v>85</v>
      </c>
      <c r="E366" s="3">
        <f ca="1">IFERROR(__xludf.DUMMYFUNCTION("""COMPUTED_VALUE"""),80)</f>
        <v>80</v>
      </c>
      <c r="F366" s="3" t="str">
        <f ca="1">IFERROR(__xludf.DUMMYFUNCTION("""COMPUTED_VALUE"""),"秘宝堂")</f>
        <v>秘宝堂</v>
      </c>
      <c r="G366" s="3"/>
    </row>
    <row r="367" spans="1:7" x14ac:dyDescent="0.25">
      <c r="A367" s="3" t="str">
        <f ca="1">IFERROR(__xludf.DUMMYFUNCTION("""COMPUTED_VALUE"""),"キーパー技")</f>
        <v>キーパー技</v>
      </c>
      <c r="B367" s="3" t="str">
        <f ca="1">IFERROR(__xludf.DUMMYFUNCTION("""COMPUTED_VALUE"""),"ドリルスマッシャー")</f>
        <v>ドリルスマッシャー</v>
      </c>
      <c r="C367" s="3" t="str">
        <f ca="1">IFERROR(__xludf.DUMMYFUNCTION("""COMPUTED_VALUE"""),"火")</f>
        <v>火</v>
      </c>
      <c r="D367" s="3">
        <f ca="1">IFERROR(__xludf.DUMMYFUNCTION("""COMPUTED_VALUE"""),85)</f>
        <v>85</v>
      </c>
      <c r="E367" s="3">
        <f ca="1">IFERROR(__xludf.DUMMYFUNCTION("""COMPUTED_VALUE"""),80)</f>
        <v>80</v>
      </c>
      <c r="F367" s="3" t="str">
        <f ca="1">IFERROR(__xludf.DUMMYFUNCTION("""COMPUTED_VALUE"""),"VSストア")</f>
        <v>VSストア</v>
      </c>
      <c r="G367" s="3" t="str">
        <f ca="1">IFERROR(__xludf.DUMMYFUNCTION("""COMPUTED_VALUE"""),"パンチング")</f>
        <v>パンチング</v>
      </c>
    </row>
    <row r="368" spans="1:7" x14ac:dyDescent="0.25">
      <c r="A368" s="3" t="str">
        <f ca="1">IFERROR(__xludf.DUMMYFUNCTION("""COMPUTED_VALUE"""),"キーパー技")</f>
        <v>キーパー技</v>
      </c>
      <c r="B368" s="3" t="str">
        <f ca="1">IFERROR(__xludf.DUMMYFUNCTION("""COMPUTED_VALUE"""),"時空の壁")</f>
        <v>時空の壁</v>
      </c>
      <c r="C368" s="3" t="str">
        <f ca="1">IFERROR(__xludf.DUMMYFUNCTION("""COMPUTED_VALUE"""),"風")</f>
        <v>風</v>
      </c>
      <c r="D368" s="3">
        <f ca="1">IFERROR(__xludf.DUMMYFUNCTION("""COMPUTED_VALUE"""),85)</f>
        <v>85</v>
      </c>
      <c r="E368" s="3">
        <f ca="1">IFERROR(__xludf.DUMMYFUNCTION("""COMPUTED_VALUE"""),80)</f>
        <v>80</v>
      </c>
      <c r="F368" s="3" t="str">
        <f ca="1">IFERROR(__xludf.DUMMYFUNCTION("""COMPUTED_VALUE"""),"スピリット交換所")</f>
        <v>スピリット交換所</v>
      </c>
      <c r="G368" s="3" t="str">
        <f ca="1">IFERROR(__xludf.DUMMYFUNCTION("""COMPUTED_VALUE"""),"パンチング")</f>
        <v>パンチング</v>
      </c>
    </row>
    <row r="369" spans="1:7" x14ac:dyDescent="0.25">
      <c r="A369" s="3" t="str">
        <f ca="1">IFERROR(__xludf.DUMMYFUNCTION("""COMPUTED_VALUE"""),"キーパー技")</f>
        <v>キーパー技</v>
      </c>
      <c r="B369" s="3" t="str">
        <f ca="1">IFERROR(__xludf.DUMMYFUNCTION("""COMPUTED_VALUE"""),"マジン・ザ・ハンド")</f>
        <v>マジン・ザ・ハンド</v>
      </c>
      <c r="C369" s="3" t="str">
        <f ca="1">IFERROR(__xludf.DUMMYFUNCTION("""COMPUTED_VALUE"""),"林")</f>
        <v>林</v>
      </c>
      <c r="D369" s="3">
        <f ca="1">IFERROR(__xludf.DUMMYFUNCTION("""COMPUTED_VALUE"""),85)</f>
        <v>85</v>
      </c>
      <c r="E369" s="3">
        <f ca="1">IFERROR(__xludf.DUMMYFUNCTION("""COMPUTED_VALUE"""),80)</f>
        <v>80</v>
      </c>
      <c r="F369" s="3" t="str">
        <f ca="1">IFERROR(__xludf.DUMMYFUNCTION("""COMPUTED_VALUE"""),"クロニクル百貨店")</f>
        <v>クロニクル百貨店</v>
      </c>
      <c r="G369" s="3"/>
    </row>
    <row r="370" spans="1:7" x14ac:dyDescent="0.25">
      <c r="A370" s="3" t="str">
        <f ca="1">IFERROR(__xludf.DUMMYFUNCTION("""COMPUTED_VALUE"""),"キーパー技")</f>
        <v>キーパー技</v>
      </c>
      <c r="B370" s="3" t="str">
        <f ca="1">IFERROR(__xludf.DUMMYFUNCTION("""COMPUTED_VALUE"""),"ゴッドハンドX")</f>
        <v>ゴッドハンドX</v>
      </c>
      <c r="C370" s="3" t="str">
        <f ca="1">IFERROR(__xludf.DUMMYFUNCTION("""COMPUTED_VALUE"""),"火")</f>
        <v>火</v>
      </c>
      <c r="D370" s="3">
        <f ca="1">IFERROR(__xludf.DUMMYFUNCTION("""COMPUTED_VALUE"""),85)</f>
        <v>85</v>
      </c>
      <c r="E370" s="3">
        <f ca="1">IFERROR(__xludf.DUMMYFUNCTION("""COMPUTED_VALUE"""),80)</f>
        <v>80</v>
      </c>
      <c r="F370" s="3" t="str">
        <f ca="1">IFERROR(__xludf.DUMMYFUNCTION("""COMPUTED_VALUE"""),"VSストア")</f>
        <v>VSストア</v>
      </c>
      <c r="G370" s="3"/>
    </row>
    <row r="371" spans="1:7" x14ac:dyDescent="0.25">
      <c r="A371" s="3" t="str">
        <f ca="1">IFERROR(__xludf.DUMMYFUNCTION("""COMPUTED_VALUE"""),"キーパー技")</f>
        <v>キーパー技</v>
      </c>
      <c r="B371" s="3" t="str">
        <f ca="1">IFERROR(__xludf.DUMMYFUNCTION("""COMPUTED_VALUE"""),"ホーリーゾーン")</f>
        <v>ホーリーゾーン</v>
      </c>
      <c r="C371" s="3" t="str">
        <f ca="1">IFERROR(__xludf.DUMMYFUNCTION("""COMPUTED_VALUE"""),"風")</f>
        <v>風</v>
      </c>
      <c r="D371" s="3">
        <f ca="1">IFERROR(__xludf.DUMMYFUNCTION("""COMPUTED_VALUE"""),85)</f>
        <v>85</v>
      </c>
      <c r="E371" s="3">
        <f ca="1">IFERROR(__xludf.DUMMYFUNCTION("""COMPUTED_VALUE"""),80)</f>
        <v>80</v>
      </c>
      <c r="F371" s="3" t="str">
        <f ca="1">IFERROR(__xludf.DUMMYFUNCTION("""COMPUTED_VALUE"""),"VSストア")</f>
        <v>VSストア</v>
      </c>
      <c r="G371" s="3"/>
    </row>
    <row r="372" spans="1:7" x14ac:dyDescent="0.25">
      <c r="A372" s="3" t="str">
        <f ca="1">IFERROR(__xludf.DUMMYFUNCTION("""COMPUTED_VALUE"""),"キーパー技")</f>
        <v>キーパー技</v>
      </c>
      <c r="B372" s="3" t="str">
        <f ca="1">IFERROR(__xludf.DUMMYFUNCTION("""COMPUTED_VALUE"""),"ジ・エンド")</f>
        <v>ジ・エンド</v>
      </c>
      <c r="C372" s="3" t="str">
        <f ca="1">IFERROR(__xludf.DUMMYFUNCTION("""COMPUTED_VALUE"""),"林")</f>
        <v>林</v>
      </c>
      <c r="D372" s="3">
        <f ca="1">IFERROR(__xludf.DUMMYFUNCTION("""COMPUTED_VALUE"""),85)</f>
        <v>85</v>
      </c>
      <c r="E372" s="3">
        <f ca="1">IFERROR(__xludf.DUMMYFUNCTION("""COMPUTED_VALUE"""),80)</f>
        <v>80</v>
      </c>
      <c r="F372" s="3" t="str">
        <f ca="1">IFERROR(__xludf.DUMMYFUNCTION("""COMPUTED_VALUE"""),"VSストア")</f>
        <v>VSストア</v>
      </c>
      <c r="G372" s="3"/>
    </row>
    <row r="373" spans="1:7" x14ac:dyDescent="0.25">
      <c r="A373" s="3" t="str">
        <f ca="1">IFERROR(__xludf.DUMMYFUNCTION("""COMPUTED_VALUE"""),"キーパー技")</f>
        <v>キーパー技</v>
      </c>
      <c r="B373" s="3" t="str">
        <f ca="1">IFERROR(__xludf.DUMMYFUNCTION("""COMPUTED_VALUE"""),"ゴッドハンドV")</f>
        <v>ゴッドハンドV</v>
      </c>
      <c r="C373" s="3" t="str">
        <f ca="1">IFERROR(__xludf.DUMMYFUNCTION("""COMPUTED_VALUE"""),"山")</f>
        <v>山</v>
      </c>
      <c r="D373" s="3">
        <f ca="1">IFERROR(__xludf.DUMMYFUNCTION("""COMPUTED_VALUE"""),85)</f>
        <v>85</v>
      </c>
      <c r="E373" s="3">
        <f ca="1">IFERROR(__xludf.DUMMYFUNCTION("""COMPUTED_VALUE"""),80)</f>
        <v>80</v>
      </c>
      <c r="F373" s="3" t="str">
        <f ca="1">IFERROR(__xludf.DUMMYFUNCTION("""COMPUTED_VALUE"""),"クロニクル百貨店")</f>
        <v>クロニクル百貨店</v>
      </c>
      <c r="G373" s="3"/>
    </row>
    <row r="374" spans="1:7" x14ac:dyDescent="0.25">
      <c r="A374" s="3" t="str">
        <f ca="1">IFERROR(__xludf.DUMMYFUNCTION("""COMPUTED_VALUE"""),"キーパー技")</f>
        <v>キーパー技</v>
      </c>
      <c r="B374" s="3" t="str">
        <f ca="1">IFERROR(__xludf.DUMMYFUNCTION("""COMPUTED_VALUE"""),"ゴッドハンドW")</f>
        <v>ゴッドハンドW</v>
      </c>
      <c r="C374" s="3" t="str">
        <f ca="1">IFERROR(__xludf.DUMMYFUNCTION("""COMPUTED_VALUE"""),"山")</f>
        <v>山</v>
      </c>
      <c r="D374" s="3">
        <f ca="1">IFERROR(__xludf.DUMMYFUNCTION("""COMPUTED_VALUE"""),85)</f>
        <v>85</v>
      </c>
      <c r="E374" s="3">
        <f ca="1">IFERROR(__xludf.DUMMYFUNCTION("""COMPUTED_VALUE"""),80)</f>
        <v>80</v>
      </c>
      <c r="F374" s="3" t="str">
        <f ca="1">IFERROR(__xludf.DUMMYFUNCTION("""COMPUTED_VALUE"""),"VSストア")</f>
        <v>VSストア</v>
      </c>
      <c r="G374" s="3"/>
    </row>
    <row r="375" spans="1:7" x14ac:dyDescent="0.25">
      <c r="A375" s="3" t="str">
        <f ca="1">IFERROR(__xludf.DUMMYFUNCTION("""COMPUTED_VALUE"""),"キーパー技")</f>
        <v>キーパー技</v>
      </c>
      <c r="B375" s="3" t="str">
        <f ca="1">IFERROR(__xludf.DUMMYFUNCTION("""COMPUTED_VALUE"""),"エンパイアシールド")</f>
        <v>エンパイアシールド</v>
      </c>
      <c r="C375" s="3" t="str">
        <f ca="1">IFERROR(__xludf.DUMMYFUNCTION("""COMPUTED_VALUE"""),"火")</f>
        <v>火</v>
      </c>
      <c r="D375" s="3">
        <f ca="1">IFERROR(__xludf.DUMMYFUNCTION("""COMPUTED_VALUE"""),85)</f>
        <v>85</v>
      </c>
      <c r="E375" s="3">
        <f ca="1">IFERROR(__xludf.DUMMYFUNCTION("""COMPUTED_VALUE"""),80)</f>
        <v>80</v>
      </c>
      <c r="F375" s="3" t="str">
        <f ca="1">IFERROR(__xludf.DUMMYFUNCTION("""COMPUTED_VALUE"""),"特訓ショップ")</f>
        <v>特訓ショップ</v>
      </c>
      <c r="G375" s="3"/>
    </row>
    <row r="376" spans="1:7" x14ac:dyDescent="0.25">
      <c r="A376" s="3" t="str">
        <f ca="1">IFERROR(__xludf.DUMMYFUNCTION("""COMPUTED_VALUE"""),"キーパー技")</f>
        <v>キーパー技</v>
      </c>
      <c r="B376" s="3" t="str">
        <f ca="1">IFERROR(__xludf.DUMMYFUNCTION("""COMPUTED_VALUE"""),"ゴッドハンド・タイガー")</f>
        <v>ゴッドハンド・タイガー</v>
      </c>
      <c r="C376" s="3" t="str">
        <f ca="1">IFERROR(__xludf.DUMMYFUNCTION("""COMPUTED_VALUE"""),"山")</f>
        <v>山</v>
      </c>
      <c r="D376" s="3">
        <f ca="1">IFERROR(__xludf.DUMMYFUNCTION("""COMPUTED_VALUE"""),85)</f>
        <v>85</v>
      </c>
      <c r="E376" s="3">
        <f ca="1">IFERROR(__xludf.DUMMYFUNCTION("""COMPUTED_VALUE"""),80)</f>
        <v>80</v>
      </c>
      <c r="F376" s="3" t="str">
        <f ca="1">IFERROR(__xludf.DUMMYFUNCTION("""COMPUTED_VALUE"""),"特訓ショップ")</f>
        <v>特訓ショップ</v>
      </c>
      <c r="G376" s="3"/>
    </row>
    <row r="377" spans="1:7" x14ac:dyDescent="0.25">
      <c r="A377" s="3" t="str">
        <f ca="1">IFERROR(__xludf.DUMMYFUNCTION("""COMPUTED_VALUE"""),"キーパー技")</f>
        <v>キーパー技</v>
      </c>
      <c r="B377" s="3" t="str">
        <f ca="1">IFERROR(__xludf.DUMMYFUNCTION("""COMPUTED_VALUE"""),"トリプルディフェンス")</f>
        <v>トリプルディフェンス</v>
      </c>
      <c r="C377" s="3" t="str">
        <f ca="1">IFERROR(__xludf.DUMMYFUNCTION("""COMPUTED_VALUE"""),"山")</f>
        <v>山</v>
      </c>
      <c r="D377" s="3">
        <f ca="1">IFERROR(__xludf.DUMMYFUNCTION("""COMPUTED_VALUE"""),70)</f>
        <v>70</v>
      </c>
      <c r="E377" s="3">
        <f ca="1">IFERROR(__xludf.DUMMYFUNCTION("""COMPUTED_VALUE"""),70)</f>
        <v>70</v>
      </c>
      <c r="F377" s="3" t="str">
        <f ca="1">IFERROR(__xludf.DUMMYFUNCTION("""COMPUTED_VALUE"""),"VSストア")</f>
        <v>VSストア</v>
      </c>
      <c r="G377" s="3"/>
    </row>
    <row r="378" spans="1:7" x14ac:dyDescent="0.25">
      <c r="A378" s="3" t="str">
        <f ca="1">IFERROR(__xludf.DUMMYFUNCTION("""COMPUTED_VALUE"""),"キーパー技")</f>
        <v>キーパー技</v>
      </c>
      <c r="B378" s="3" t="str">
        <f ca="1">IFERROR(__xludf.DUMMYFUNCTION("""COMPUTED_VALUE"""),"フルパワーシールド")</f>
        <v>フルパワーシールド</v>
      </c>
      <c r="C378" s="3" t="str">
        <f ca="1">IFERROR(__xludf.DUMMYFUNCTION("""COMPUTED_VALUE"""),"火")</f>
        <v>火</v>
      </c>
      <c r="D378" s="3">
        <f ca="1">IFERROR(__xludf.DUMMYFUNCTION("""COMPUTED_VALUE"""),70)</f>
        <v>70</v>
      </c>
      <c r="E378" s="3">
        <f ca="1">IFERROR(__xludf.DUMMYFUNCTION("""COMPUTED_VALUE"""),70)</f>
        <v>70</v>
      </c>
      <c r="F378" s="3" t="str">
        <f ca="1">IFERROR(__xludf.DUMMYFUNCTION("""COMPUTED_VALUE"""),"特訓ショップ")</f>
        <v>特訓ショップ</v>
      </c>
      <c r="G378" s="3" t="str">
        <f ca="1">IFERROR(__xludf.DUMMYFUNCTION("""COMPUTED_VALUE"""),"パンチング")</f>
        <v>パンチング</v>
      </c>
    </row>
    <row r="379" spans="1:7" x14ac:dyDescent="0.25">
      <c r="A379" s="3" t="str">
        <f ca="1">IFERROR(__xludf.DUMMYFUNCTION("""COMPUTED_VALUE"""),"キーパー技")</f>
        <v>キーパー技</v>
      </c>
      <c r="B379" s="3" t="str">
        <f ca="1">IFERROR(__xludf.DUMMYFUNCTION("""COMPUTED_VALUE"""),"ギガントウォール")</f>
        <v>ギガントウォール</v>
      </c>
      <c r="C379" s="3" t="str">
        <f ca="1">IFERROR(__xludf.DUMMYFUNCTION("""COMPUTED_VALUE"""),"山")</f>
        <v>山</v>
      </c>
      <c r="D379" s="3">
        <f ca="1">IFERROR(__xludf.DUMMYFUNCTION("""COMPUTED_VALUE"""),70)</f>
        <v>70</v>
      </c>
      <c r="E379" s="3">
        <f ca="1">IFERROR(__xludf.DUMMYFUNCTION("""COMPUTED_VALUE"""),70)</f>
        <v>70</v>
      </c>
      <c r="F379" s="3" t="str">
        <f ca="1">IFERROR(__xludf.DUMMYFUNCTION("""COMPUTED_VALUE"""),"VSストア")</f>
        <v>VSストア</v>
      </c>
      <c r="G379" s="3"/>
    </row>
    <row r="380" spans="1:7" x14ac:dyDescent="0.25">
      <c r="A380" s="3" t="str">
        <f ca="1">IFERROR(__xludf.DUMMYFUNCTION("""COMPUTED_VALUE"""),"キーパー技")</f>
        <v>キーパー技</v>
      </c>
      <c r="B380" s="3" t="str">
        <f ca="1">IFERROR(__xludf.DUMMYFUNCTION("""COMPUTED_VALUE"""),"つなみウォール")</f>
        <v>つなみウォール</v>
      </c>
      <c r="C380" s="3" t="str">
        <f ca="1">IFERROR(__xludf.DUMMYFUNCTION("""COMPUTED_VALUE"""),"風")</f>
        <v>風</v>
      </c>
      <c r="D380" s="3">
        <f ca="1">IFERROR(__xludf.DUMMYFUNCTION("""COMPUTED_VALUE"""),70)</f>
        <v>70</v>
      </c>
      <c r="E380" s="3">
        <f ca="1">IFERROR(__xludf.DUMMYFUNCTION("""COMPUTED_VALUE"""),70)</f>
        <v>70</v>
      </c>
      <c r="F380" s="3" t="str">
        <f ca="1">IFERROR(__xludf.DUMMYFUNCTION("""COMPUTED_VALUE"""),"クロニクル百貨店")</f>
        <v>クロニクル百貨店</v>
      </c>
      <c r="G380" s="3"/>
    </row>
    <row r="381" spans="1:7" x14ac:dyDescent="0.25">
      <c r="A381" s="3" t="str">
        <f ca="1">IFERROR(__xludf.DUMMYFUNCTION("""COMPUTED_VALUE"""),"キーパー技")</f>
        <v>キーパー技</v>
      </c>
      <c r="B381" s="3" t="str">
        <f ca="1">IFERROR(__xludf.DUMMYFUNCTION("""COMPUTED_VALUE"""),"ダブルロケット")</f>
        <v>ダブルロケット</v>
      </c>
      <c r="C381" s="3" t="str">
        <f ca="1">IFERROR(__xludf.DUMMYFUNCTION("""COMPUTED_VALUE"""),"火")</f>
        <v>火</v>
      </c>
      <c r="D381" s="3">
        <f ca="1">IFERROR(__xludf.DUMMYFUNCTION("""COMPUTED_VALUE"""),70)</f>
        <v>70</v>
      </c>
      <c r="E381" s="3">
        <f ca="1">IFERROR(__xludf.DUMMYFUNCTION("""COMPUTED_VALUE"""),70)</f>
        <v>70</v>
      </c>
      <c r="F381" s="3" t="str">
        <f ca="1">IFERROR(__xludf.DUMMYFUNCTION("""COMPUTED_VALUE"""),"秘宝堂")</f>
        <v>秘宝堂</v>
      </c>
      <c r="G381" s="3"/>
    </row>
    <row r="382" spans="1:7" x14ac:dyDescent="0.25">
      <c r="A382" s="3" t="str">
        <f ca="1">IFERROR(__xludf.DUMMYFUNCTION("""COMPUTED_VALUE"""),"キーパー技")</f>
        <v>キーパー技</v>
      </c>
      <c r="B382" s="3" t="str">
        <f ca="1">IFERROR(__xludf.DUMMYFUNCTION("""COMPUTED_VALUE"""),"ワームホール")</f>
        <v>ワームホール</v>
      </c>
      <c r="C382" s="3" t="str">
        <f ca="1">IFERROR(__xludf.DUMMYFUNCTION("""COMPUTED_VALUE"""),"林")</f>
        <v>林</v>
      </c>
      <c r="D382" s="3">
        <f ca="1">IFERROR(__xludf.DUMMYFUNCTION("""COMPUTED_VALUE"""),70)</f>
        <v>70</v>
      </c>
      <c r="E382" s="3">
        <f ca="1">IFERROR(__xludf.DUMMYFUNCTION("""COMPUTED_VALUE"""),70)</f>
        <v>70</v>
      </c>
      <c r="F382" s="3" t="str">
        <f ca="1">IFERROR(__xludf.DUMMYFUNCTION("""COMPUTED_VALUE"""),"クロニクル百貨店")</f>
        <v>クロニクル百貨店</v>
      </c>
      <c r="G382" s="3"/>
    </row>
    <row r="383" spans="1:7" x14ac:dyDescent="0.25">
      <c r="A383" s="3" t="str">
        <f ca="1">IFERROR(__xludf.DUMMYFUNCTION("""COMPUTED_VALUE"""),"キーパー技")</f>
        <v>キーパー技</v>
      </c>
      <c r="B383" s="3" t="str">
        <f ca="1">IFERROR(__xludf.DUMMYFUNCTION("""COMPUTED_VALUE"""),"プロキオンネット")</f>
        <v>プロキオンネット</v>
      </c>
      <c r="C383" s="3" t="str">
        <f ca="1">IFERROR(__xludf.DUMMYFUNCTION("""COMPUTED_VALUE"""),"風")</f>
        <v>風</v>
      </c>
      <c r="D383" s="3">
        <f ca="1">IFERROR(__xludf.DUMMYFUNCTION("""COMPUTED_VALUE"""),70)</f>
        <v>70</v>
      </c>
      <c r="E383" s="3">
        <f ca="1">IFERROR(__xludf.DUMMYFUNCTION("""COMPUTED_VALUE"""),70)</f>
        <v>70</v>
      </c>
      <c r="F383" s="3" t="str">
        <f ca="1">IFERROR(__xludf.DUMMYFUNCTION("""COMPUTED_VALUE"""),"クロニクル百貨店")</f>
        <v>クロニクル百貨店</v>
      </c>
      <c r="G383" s="3"/>
    </row>
    <row r="384" spans="1:7" x14ac:dyDescent="0.25">
      <c r="A384" s="3" t="str">
        <f ca="1">IFERROR(__xludf.DUMMYFUNCTION("""COMPUTED_VALUE"""),"キーパー技")</f>
        <v>キーパー技</v>
      </c>
      <c r="B384" s="3" t="str">
        <f ca="1">IFERROR(__xludf.DUMMYFUNCTION("""COMPUTED_VALUE"""),"正義の鉄拳")</f>
        <v>正義の鉄拳</v>
      </c>
      <c r="C384" s="3" t="str">
        <f ca="1">IFERROR(__xludf.DUMMYFUNCTION("""COMPUTED_VALUE"""),"風")</f>
        <v>風</v>
      </c>
      <c r="D384" s="3">
        <f ca="1">IFERROR(__xludf.DUMMYFUNCTION("""COMPUTED_VALUE"""),70)</f>
        <v>70</v>
      </c>
      <c r="E384" s="3">
        <f ca="1">IFERROR(__xludf.DUMMYFUNCTION("""COMPUTED_VALUE"""),70)</f>
        <v>70</v>
      </c>
      <c r="F384" s="3" t="str">
        <f ca="1">IFERROR(__xludf.DUMMYFUNCTION("""COMPUTED_VALUE"""),"クロニクル百貨店")</f>
        <v>クロニクル百貨店</v>
      </c>
      <c r="G384" s="3" t="str">
        <f ca="1">IFERROR(__xludf.DUMMYFUNCTION("""COMPUTED_VALUE"""),"パンチング")</f>
        <v>パンチング</v>
      </c>
    </row>
    <row r="385" spans="1:7" x14ac:dyDescent="0.25">
      <c r="A385" s="3" t="str">
        <f ca="1">IFERROR(__xludf.DUMMYFUNCTION("""COMPUTED_VALUE"""),"キーパー技")</f>
        <v>キーパー技</v>
      </c>
      <c r="B385" s="3" t="str">
        <f ca="1">IFERROR(__xludf.DUMMYFUNCTION("""COMPUTED_VALUE"""),"イジゲン・ザ・ハンド")</f>
        <v>イジゲン・ザ・ハンド</v>
      </c>
      <c r="C385" s="3" t="str">
        <f ca="1">IFERROR(__xludf.DUMMYFUNCTION("""COMPUTED_VALUE"""),"林")</f>
        <v>林</v>
      </c>
      <c r="D385" s="3">
        <f ca="1">IFERROR(__xludf.DUMMYFUNCTION("""COMPUTED_VALUE"""),70)</f>
        <v>70</v>
      </c>
      <c r="E385" s="3">
        <f ca="1">IFERROR(__xludf.DUMMYFUNCTION("""COMPUTED_VALUE"""),70)</f>
        <v>70</v>
      </c>
      <c r="F385" s="3" t="str">
        <f ca="1">IFERROR(__xludf.DUMMYFUNCTION("""COMPUTED_VALUE"""),"クロニクル百貨店")</f>
        <v>クロニクル百貨店</v>
      </c>
      <c r="G385" s="3"/>
    </row>
    <row r="386" spans="1:7" x14ac:dyDescent="0.25">
      <c r="A386" s="3" t="str">
        <f ca="1">IFERROR(__xludf.DUMMYFUNCTION("""COMPUTED_VALUE"""),"キーパー技")</f>
        <v>キーパー技</v>
      </c>
      <c r="B386" s="3" t="str">
        <f ca="1">IFERROR(__xludf.DUMMYFUNCTION("""COMPUTED_VALUE"""),"怒りの鉄槌")</f>
        <v>怒りの鉄槌</v>
      </c>
      <c r="C386" s="3" t="str">
        <f ca="1">IFERROR(__xludf.DUMMYFUNCTION("""COMPUTED_VALUE"""),"山")</f>
        <v>山</v>
      </c>
      <c r="D386" s="3">
        <f ca="1">IFERROR(__xludf.DUMMYFUNCTION("""COMPUTED_VALUE"""),70)</f>
        <v>70</v>
      </c>
      <c r="E386" s="3">
        <f ca="1">IFERROR(__xludf.DUMMYFUNCTION("""COMPUTED_VALUE"""),70)</f>
        <v>70</v>
      </c>
      <c r="F386" s="3" t="str">
        <f ca="1">IFERROR(__xludf.DUMMYFUNCTION("""COMPUTED_VALUE"""),"クロニクル百貨店")</f>
        <v>クロニクル百貨店</v>
      </c>
      <c r="G386" s="3"/>
    </row>
    <row r="387" spans="1:7" x14ac:dyDescent="0.25">
      <c r="A387" s="3" t="str">
        <f ca="1">IFERROR(__xludf.DUMMYFUNCTION("""COMPUTED_VALUE"""),"キーパー技")</f>
        <v>キーパー技</v>
      </c>
      <c r="B387" s="3" t="str">
        <f ca="1">IFERROR(__xludf.DUMMYFUNCTION("""COMPUTED_VALUE"""),"ミリオンハンズ")</f>
        <v>ミリオンハンズ</v>
      </c>
      <c r="C387" s="3" t="str">
        <f ca="1">IFERROR(__xludf.DUMMYFUNCTION("""COMPUTED_VALUE"""),"火")</f>
        <v>火</v>
      </c>
      <c r="D387" s="3">
        <f ca="1">IFERROR(__xludf.DUMMYFUNCTION("""COMPUTED_VALUE"""),70)</f>
        <v>70</v>
      </c>
      <c r="E387" s="3">
        <f ca="1">IFERROR(__xludf.DUMMYFUNCTION("""COMPUTED_VALUE"""),70)</f>
        <v>70</v>
      </c>
      <c r="F387" s="3" t="str">
        <f ca="1">IFERROR(__xludf.DUMMYFUNCTION("""COMPUTED_VALUE"""),"秘宝堂")</f>
        <v>秘宝堂</v>
      </c>
      <c r="G387" s="3"/>
    </row>
    <row r="388" spans="1:7" x14ac:dyDescent="0.25">
      <c r="A388" s="3" t="str">
        <f ca="1">IFERROR(__xludf.DUMMYFUNCTION("""COMPUTED_VALUE"""),"キーパー技")</f>
        <v>キーパー技</v>
      </c>
      <c r="B388" s="3" t="str">
        <f ca="1">IFERROR(__xludf.DUMMYFUNCTION("""COMPUTED_VALUE"""),"サーペントファング")</f>
        <v>サーペントファング</v>
      </c>
      <c r="C388" s="3" t="str">
        <f ca="1">IFERROR(__xludf.DUMMYFUNCTION("""COMPUTED_VALUE"""),"山")</f>
        <v>山</v>
      </c>
      <c r="D388" s="3">
        <f ca="1">IFERROR(__xludf.DUMMYFUNCTION("""COMPUTED_VALUE"""),70)</f>
        <v>70</v>
      </c>
      <c r="E388" s="3">
        <f ca="1">IFERROR(__xludf.DUMMYFUNCTION("""COMPUTED_VALUE"""),70)</f>
        <v>70</v>
      </c>
      <c r="F388" s="3" t="str">
        <f ca="1">IFERROR(__xludf.DUMMYFUNCTION("""COMPUTED_VALUE"""),"特訓ショップ")</f>
        <v>特訓ショップ</v>
      </c>
      <c r="G388" s="3"/>
    </row>
    <row r="389" spans="1:7" x14ac:dyDescent="0.25">
      <c r="A389" s="3" t="str">
        <f ca="1">IFERROR(__xludf.DUMMYFUNCTION("""COMPUTED_VALUE"""),"キーパー技")</f>
        <v>キーパー技</v>
      </c>
      <c r="B389" s="3" t="str">
        <f ca="1">IFERROR(__xludf.DUMMYFUNCTION("""COMPUTED_VALUE"""),"無頼ハンド")</f>
        <v>無頼ハンド</v>
      </c>
      <c r="C389" s="3" t="str">
        <f ca="1">IFERROR(__xludf.DUMMYFUNCTION("""COMPUTED_VALUE"""),"火")</f>
        <v>火</v>
      </c>
      <c r="D389" s="3">
        <f ca="1">IFERROR(__xludf.DUMMYFUNCTION("""COMPUTED_VALUE"""),70)</f>
        <v>70</v>
      </c>
      <c r="E389" s="3">
        <f ca="1">IFERROR(__xludf.DUMMYFUNCTION("""COMPUTED_VALUE"""),70)</f>
        <v>70</v>
      </c>
      <c r="F389" s="3" t="str">
        <f ca="1">IFERROR(__xludf.DUMMYFUNCTION("""COMPUTED_VALUE"""),"VSストア")</f>
        <v>VSストア</v>
      </c>
      <c r="G389" s="3"/>
    </row>
    <row r="390" spans="1:7" x14ac:dyDescent="0.25">
      <c r="A390" s="3" t="str">
        <f ca="1">IFERROR(__xludf.DUMMYFUNCTION("""COMPUTED_VALUE"""),"キーパー技")</f>
        <v>キーパー技</v>
      </c>
      <c r="B390" s="3" t="str">
        <f ca="1">IFERROR(__xludf.DUMMYFUNCTION("""COMPUTED_VALUE"""),"キルブリッジ")</f>
        <v>キルブリッジ</v>
      </c>
      <c r="C390" s="3" t="str">
        <f ca="1">IFERROR(__xludf.DUMMYFUNCTION("""COMPUTED_VALUE"""),"風")</f>
        <v>風</v>
      </c>
      <c r="D390" s="3">
        <f ca="1">IFERROR(__xludf.DUMMYFUNCTION("""COMPUTED_VALUE"""),70)</f>
        <v>70</v>
      </c>
      <c r="E390" s="3">
        <f ca="1">IFERROR(__xludf.DUMMYFUNCTION("""COMPUTED_VALUE"""),70)</f>
        <v>70</v>
      </c>
      <c r="F390" s="3" t="str">
        <f ca="1">IFERROR(__xludf.DUMMYFUNCTION("""COMPUTED_VALUE"""),"秘宝堂")</f>
        <v>秘宝堂</v>
      </c>
      <c r="G390" s="3"/>
    </row>
    <row r="391" spans="1:7" x14ac:dyDescent="0.25">
      <c r="A391" s="3" t="str">
        <f ca="1">IFERROR(__xludf.DUMMYFUNCTION("""COMPUTED_VALUE"""),"キーパー技")</f>
        <v>キーパー技</v>
      </c>
      <c r="B391" s="3" t="str">
        <f ca="1">IFERROR(__xludf.DUMMYFUNCTION("""COMPUTED_VALUE"""),"グラビティポイント")</f>
        <v>グラビティポイント</v>
      </c>
      <c r="C391" s="3" t="str">
        <f ca="1">IFERROR(__xludf.DUMMYFUNCTION("""COMPUTED_VALUE"""),"林")</f>
        <v>林</v>
      </c>
      <c r="D391" s="3">
        <f ca="1">IFERROR(__xludf.DUMMYFUNCTION("""COMPUTED_VALUE"""),70)</f>
        <v>70</v>
      </c>
      <c r="E391" s="3">
        <f ca="1">IFERROR(__xludf.DUMMYFUNCTION("""COMPUTED_VALUE"""),70)</f>
        <v>70</v>
      </c>
      <c r="F391" s="3" t="str">
        <f ca="1">IFERROR(__xludf.DUMMYFUNCTION("""COMPUTED_VALUE"""),"秘宝堂")</f>
        <v>秘宝堂</v>
      </c>
      <c r="G391" s="3"/>
    </row>
    <row r="392" spans="1:7" x14ac:dyDescent="0.25">
      <c r="A392" s="3" t="str">
        <f ca="1">IFERROR(__xludf.DUMMYFUNCTION("""COMPUTED_VALUE"""),"キーパー技")</f>
        <v>キーパー技</v>
      </c>
      <c r="B392" s="3" t="str">
        <f ca="1">IFERROR(__xludf.DUMMYFUNCTION("""COMPUTED_VALUE"""),"ビームこぶし")</f>
        <v>ビームこぶし</v>
      </c>
      <c r="C392" s="3" t="str">
        <f ca="1">IFERROR(__xludf.DUMMYFUNCTION("""COMPUTED_VALUE"""),"火")</f>
        <v>火</v>
      </c>
      <c r="D392" s="3">
        <f ca="1">IFERROR(__xludf.DUMMYFUNCTION("""COMPUTED_VALUE"""),70)</f>
        <v>70</v>
      </c>
      <c r="E392" s="3">
        <f ca="1">IFERROR(__xludf.DUMMYFUNCTION("""COMPUTED_VALUE"""),70)</f>
        <v>70</v>
      </c>
      <c r="F392" s="3" t="str">
        <f ca="1">IFERROR(__xludf.DUMMYFUNCTION("""COMPUTED_VALUE"""),"秘宝堂")</f>
        <v>秘宝堂</v>
      </c>
      <c r="G392" s="3"/>
    </row>
    <row r="393" spans="1:7" x14ac:dyDescent="0.25">
      <c r="A393" s="3" t="str">
        <f ca="1">IFERROR(__xludf.DUMMYFUNCTION("""COMPUTED_VALUE"""),"キーパー技")</f>
        <v>キーパー技</v>
      </c>
      <c r="B393" s="3" t="str">
        <f ca="1">IFERROR(__xludf.DUMMYFUNCTION("""COMPUTED_VALUE"""),"サンドカッター")</f>
        <v>サンドカッター</v>
      </c>
      <c r="C393" s="3" t="str">
        <f ca="1">IFERROR(__xludf.DUMMYFUNCTION("""COMPUTED_VALUE"""),"火")</f>
        <v>火</v>
      </c>
      <c r="D393" s="3">
        <f ca="1">IFERROR(__xludf.DUMMYFUNCTION("""COMPUTED_VALUE"""),70)</f>
        <v>70</v>
      </c>
      <c r="E393" s="3">
        <f ca="1">IFERROR(__xludf.DUMMYFUNCTION("""COMPUTED_VALUE"""),70)</f>
        <v>70</v>
      </c>
      <c r="F393" s="3" t="str">
        <f ca="1">IFERROR(__xludf.DUMMYFUNCTION("""COMPUTED_VALUE"""),"秘宝堂")</f>
        <v>秘宝堂</v>
      </c>
      <c r="G393" s="3"/>
    </row>
    <row r="394" spans="1:7" x14ac:dyDescent="0.25">
      <c r="A394" s="3" t="str">
        <f ca="1">IFERROR(__xludf.DUMMYFUNCTION("""COMPUTED_VALUE"""),"キーパー技")</f>
        <v>キーパー技</v>
      </c>
      <c r="B394" s="3" t="str">
        <f ca="1">IFERROR(__xludf.DUMMYFUNCTION("""COMPUTED_VALUE"""),"弧月十字掌")</f>
        <v>弧月十字掌</v>
      </c>
      <c r="C394" s="3" t="str">
        <f ca="1">IFERROR(__xludf.DUMMYFUNCTION("""COMPUTED_VALUE"""),"無")</f>
        <v>無</v>
      </c>
      <c r="D394" s="3">
        <f ca="1">IFERROR(__xludf.DUMMYFUNCTION("""COMPUTED_VALUE"""),70)</f>
        <v>70</v>
      </c>
      <c r="E394" s="3">
        <f ca="1">IFERROR(__xludf.DUMMYFUNCTION("""COMPUTED_VALUE"""),70)</f>
        <v>70</v>
      </c>
      <c r="F394" s="3" t="str">
        <f ca="1">IFERROR(__xludf.DUMMYFUNCTION("""COMPUTED_VALUE"""),"秘宝堂")</f>
        <v>秘宝堂</v>
      </c>
      <c r="G394" s="3"/>
    </row>
    <row r="395" spans="1:7" x14ac:dyDescent="0.25">
      <c r="A395" s="3" t="str">
        <f ca="1">IFERROR(__xludf.DUMMYFUNCTION("""COMPUTED_VALUE"""),"キーパー技")</f>
        <v>キーパー技</v>
      </c>
      <c r="B395" s="3" t="str">
        <f ca="1">IFERROR(__xludf.DUMMYFUNCTION("""COMPUTED_VALUE"""),"ペンギン・ザ・ハンド")</f>
        <v>ペンギン・ザ・ハンド</v>
      </c>
      <c r="C395" s="3" t="str">
        <f ca="1">IFERROR(__xludf.DUMMYFUNCTION("""COMPUTED_VALUE"""),"無")</f>
        <v>無</v>
      </c>
      <c r="D395" s="3">
        <f ca="1">IFERROR(__xludf.DUMMYFUNCTION("""COMPUTED_VALUE"""),70)</f>
        <v>70</v>
      </c>
      <c r="E395" s="3">
        <f ca="1">IFERROR(__xludf.DUMMYFUNCTION("""COMPUTED_VALUE"""),70)</f>
        <v>70</v>
      </c>
      <c r="F395" s="3" t="str">
        <f ca="1">IFERROR(__xludf.DUMMYFUNCTION("""COMPUTED_VALUE"""),"VSストア")</f>
        <v>VSストア</v>
      </c>
      <c r="G395" s="3"/>
    </row>
    <row r="396" spans="1:7" x14ac:dyDescent="0.25">
      <c r="A396" s="3" t="str">
        <f ca="1">IFERROR(__xludf.DUMMYFUNCTION("""COMPUTED_VALUE"""),"キーパー技")</f>
        <v>キーパー技</v>
      </c>
      <c r="B396" s="3" t="str">
        <f ca="1">IFERROR(__xludf.DUMMYFUNCTION("""COMPUTED_VALUE"""),"アウターワールド")</f>
        <v>アウターワールド</v>
      </c>
      <c r="C396" s="3" t="str">
        <f ca="1">IFERROR(__xludf.DUMMYFUNCTION("""COMPUTED_VALUE"""),"林")</f>
        <v>林</v>
      </c>
      <c r="D396" s="3">
        <f ca="1">IFERROR(__xludf.DUMMYFUNCTION("""COMPUTED_VALUE"""),70)</f>
        <v>70</v>
      </c>
      <c r="E396" s="3">
        <f ca="1">IFERROR(__xludf.DUMMYFUNCTION("""COMPUTED_VALUE"""),70)</f>
        <v>70</v>
      </c>
      <c r="F396" s="3" t="str">
        <f ca="1">IFERROR(__xludf.DUMMYFUNCTION("""COMPUTED_VALUE"""),"特訓ショップ")</f>
        <v>特訓ショップ</v>
      </c>
      <c r="G396" s="3"/>
    </row>
    <row r="397" spans="1:7" x14ac:dyDescent="0.25">
      <c r="A397" s="3" t="str">
        <f ca="1">IFERROR(__xludf.DUMMYFUNCTION("""COMPUTED_VALUE"""),"キーパー技")</f>
        <v>キーパー技</v>
      </c>
      <c r="B397" s="3" t="str">
        <f ca="1">IFERROR(__xludf.DUMMYFUNCTION("""COMPUTED_VALUE"""),"ゴッドハンド")</f>
        <v>ゴッドハンド</v>
      </c>
      <c r="C397" s="3" t="str">
        <f ca="1">IFERROR(__xludf.DUMMYFUNCTION("""COMPUTED_VALUE"""),"山")</f>
        <v>山</v>
      </c>
      <c r="D397" s="3">
        <f ca="1">IFERROR(__xludf.DUMMYFUNCTION("""COMPUTED_VALUE"""),60)</f>
        <v>60</v>
      </c>
      <c r="E397" s="3">
        <f ca="1">IFERROR(__xludf.DUMMYFUNCTION("""COMPUTED_VALUE"""),60)</f>
        <v>60</v>
      </c>
      <c r="F397" s="3" t="str">
        <f ca="1">IFERROR(__xludf.DUMMYFUNCTION("""COMPUTED_VALUE"""),"クロニクル百貨店")</f>
        <v>クロニクル百貨店</v>
      </c>
      <c r="G397" s="3"/>
    </row>
    <row r="398" spans="1:7" x14ac:dyDescent="0.25">
      <c r="A398" s="3" t="str">
        <f ca="1">IFERROR(__xludf.DUMMYFUNCTION("""COMPUTED_VALUE"""),"キーパー技")</f>
        <v>キーパー技</v>
      </c>
      <c r="B398" s="3" t="str">
        <f ca="1">IFERROR(__xludf.DUMMYFUNCTION("""COMPUTED_VALUE"""),"パワーシールド")</f>
        <v>パワーシールド</v>
      </c>
      <c r="C398" s="3" t="str">
        <f ca="1">IFERROR(__xludf.DUMMYFUNCTION("""COMPUTED_VALUE"""),"火")</f>
        <v>火</v>
      </c>
      <c r="D398" s="3">
        <f ca="1">IFERROR(__xludf.DUMMYFUNCTION("""COMPUTED_VALUE"""),60)</f>
        <v>60</v>
      </c>
      <c r="E398" s="3">
        <f ca="1">IFERROR(__xludf.DUMMYFUNCTION("""COMPUTED_VALUE"""),60)</f>
        <v>60</v>
      </c>
      <c r="F398" s="3" t="str">
        <f ca="1">IFERROR(__xludf.DUMMYFUNCTION("""COMPUTED_VALUE"""),"特訓ショップ")</f>
        <v>特訓ショップ</v>
      </c>
      <c r="G398" s="3" t="str">
        <f ca="1">IFERROR(__xludf.DUMMYFUNCTION("""COMPUTED_VALUE"""),"パンチング")</f>
        <v>パンチング</v>
      </c>
    </row>
    <row r="399" spans="1:7" x14ac:dyDescent="0.25">
      <c r="A399" s="3" t="str">
        <f ca="1">IFERROR(__xludf.DUMMYFUNCTION("""COMPUTED_VALUE"""),"キーパー技")</f>
        <v>キーパー技</v>
      </c>
      <c r="B399" s="3" t="str">
        <f ca="1">IFERROR(__xludf.DUMMYFUNCTION("""COMPUTED_VALUE"""),"ゴールずらし")</f>
        <v>ゴールずらし</v>
      </c>
      <c r="C399" s="3" t="str">
        <f ca="1">IFERROR(__xludf.DUMMYFUNCTION("""COMPUTED_VALUE"""),"山")</f>
        <v>山</v>
      </c>
      <c r="D399" s="3">
        <f ca="1">IFERROR(__xludf.DUMMYFUNCTION("""COMPUTED_VALUE"""),60)</f>
        <v>60</v>
      </c>
      <c r="E399" s="3">
        <f ca="1">IFERROR(__xludf.DUMMYFUNCTION("""COMPUTED_VALUE"""),60)</f>
        <v>60</v>
      </c>
      <c r="F399" s="3" t="str">
        <f ca="1">IFERROR(__xludf.DUMMYFUNCTION("""COMPUTED_VALUE"""),"クロニクル百貨店")</f>
        <v>クロニクル百貨店</v>
      </c>
      <c r="G399" s="3"/>
    </row>
    <row r="400" spans="1:7" x14ac:dyDescent="0.25">
      <c r="A400" s="3" t="str">
        <f ca="1">IFERROR(__xludf.DUMMYFUNCTION("""COMPUTED_VALUE"""),"キーパー技")</f>
        <v>キーパー技</v>
      </c>
      <c r="B400" s="3" t="str">
        <f ca="1">IFERROR(__xludf.DUMMYFUNCTION("""COMPUTED_VALUE"""),"タフネスブロック")</f>
        <v>タフネスブロック</v>
      </c>
      <c r="C400" s="3" t="str">
        <f ca="1">IFERROR(__xludf.DUMMYFUNCTION("""COMPUTED_VALUE"""),"山")</f>
        <v>山</v>
      </c>
      <c r="D400" s="3">
        <f ca="1">IFERROR(__xludf.DUMMYFUNCTION("""COMPUTED_VALUE"""),60)</f>
        <v>60</v>
      </c>
      <c r="E400" s="3">
        <f ca="1">IFERROR(__xludf.DUMMYFUNCTION("""COMPUTED_VALUE"""),60)</f>
        <v>60</v>
      </c>
      <c r="F400" s="3" t="str">
        <f ca="1">IFERROR(__xludf.DUMMYFUNCTION("""COMPUTED_VALUE"""),"特訓ショップ")</f>
        <v>特訓ショップ</v>
      </c>
      <c r="G400" s="3"/>
    </row>
    <row r="401" spans="1:7" x14ac:dyDescent="0.25">
      <c r="A401" s="3" t="str">
        <f ca="1">IFERROR(__xludf.DUMMYFUNCTION("""COMPUTED_VALUE"""),"キーパー技")</f>
        <v>キーパー技</v>
      </c>
      <c r="B401" s="3" t="str">
        <f ca="1">IFERROR(__xludf.DUMMYFUNCTION("""COMPUTED_VALUE"""),"薪割りチョップ")</f>
        <v>薪割りチョップ</v>
      </c>
      <c r="C401" s="3" t="str">
        <f ca="1">IFERROR(__xludf.DUMMYFUNCTION("""COMPUTED_VALUE"""),"山")</f>
        <v>山</v>
      </c>
      <c r="D401" s="3">
        <f ca="1">IFERROR(__xludf.DUMMYFUNCTION("""COMPUTED_VALUE"""),60)</f>
        <v>60</v>
      </c>
      <c r="E401" s="3">
        <f ca="1">IFERROR(__xludf.DUMMYFUNCTION("""COMPUTED_VALUE"""),60)</f>
        <v>60</v>
      </c>
      <c r="F401" s="3" t="str">
        <f ca="1">IFERROR(__xludf.DUMMYFUNCTION("""COMPUTED_VALUE"""),"秘宝堂")</f>
        <v>秘宝堂</v>
      </c>
      <c r="G401" s="3"/>
    </row>
    <row r="402" spans="1:7" x14ac:dyDescent="0.25">
      <c r="A402" s="3" t="str">
        <f ca="1">IFERROR(__xludf.DUMMYFUNCTION("""COMPUTED_VALUE"""),"キーパー技")</f>
        <v>キーパー技</v>
      </c>
      <c r="B402" s="3" t="str">
        <f ca="1">IFERROR(__xludf.DUMMYFUNCTION("""COMPUTED_VALUE"""),"ロケットこぶし")</f>
        <v>ロケットこぶし</v>
      </c>
      <c r="C402" s="3" t="str">
        <f ca="1">IFERROR(__xludf.DUMMYFUNCTION("""COMPUTED_VALUE"""),"火")</f>
        <v>火</v>
      </c>
      <c r="D402" s="3">
        <f ca="1">IFERROR(__xludf.DUMMYFUNCTION("""COMPUTED_VALUE"""),60)</f>
        <v>60</v>
      </c>
      <c r="E402" s="3">
        <f ca="1">IFERROR(__xludf.DUMMYFUNCTION("""COMPUTED_VALUE"""),60)</f>
        <v>60</v>
      </c>
      <c r="F402" s="3" t="str">
        <f ca="1">IFERROR(__xludf.DUMMYFUNCTION("""COMPUTED_VALUE"""),"秘宝堂")</f>
        <v>秘宝堂</v>
      </c>
      <c r="G402" s="3"/>
    </row>
    <row r="403" spans="1:7" x14ac:dyDescent="0.25">
      <c r="A403" s="3" t="str">
        <f ca="1">IFERROR(__xludf.DUMMYFUNCTION("""COMPUTED_VALUE"""),"キーパー技")</f>
        <v>キーパー技</v>
      </c>
      <c r="B403" s="3" t="str">
        <f ca="1">IFERROR(__xludf.DUMMYFUNCTION("""COMPUTED_VALUE"""),"爆裂パンチ")</f>
        <v>爆裂パンチ</v>
      </c>
      <c r="C403" s="3" t="str">
        <f ca="1">IFERROR(__xludf.DUMMYFUNCTION("""COMPUTED_VALUE"""),"火")</f>
        <v>火</v>
      </c>
      <c r="D403" s="3">
        <f ca="1">IFERROR(__xludf.DUMMYFUNCTION("""COMPUTED_VALUE"""),60)</f>
        <v>60</v>
      </c>
      <c r="E403" s="3">
        <f ca="1">IFERROR(__xludf.DUMMYFUNCTION("""COMPUTED_VALUE"""),60)</f>
        <v>60</v>
      </c>
      <c r="F403" s="3" t="str">
        <f ca="1">IFERROR(__xludf.DUMMYFUNCTION("""COMPUTED_VALUE"""),"VSストア")</f>
        <v>VSストア</v>
      </c>
      <c r="G403" s="3" t="str">
        <f ca="1">IFERROR(__xludf.DUMMYFUNCTION("""COMPUTED_VALUE"""),"パンチング")</f>
        <v>パンチング</v>
      </c>
    </row>
    <row r="404" spans="1:7" x14ac:dyDescent="0.25">
      <c r="A404" s="3" t="str">
        <f ca="1">IFERROR(__xludf.DUMMYFUNCTION("""COMPUTED_VALUE"""),"キーパー技")</f>
        <v>キーパー技</v>
      </c>
      <c r="B404" s="3" t="str">
        <f ca="1">IFERROR(__xludf.DUMMYFUNCTION("""COMPUTED_VALUE"""),"ちゃぶ台返し")</f>
        <v>ちゃぶ台返し</v>
      </c>
      <c r="C404" s="3" t="str">
        <f ca="1">IFERROR(__xludf.DUMMYFUNCTION("""COMPUTED_VALUE"""),"山")</f>
        <v>山</v>
      </c>
      <c r="D404" s="3">
        <f ca="1">IFERROR(__xludf.DUMMYFUNCTION("""COMPUTED_VALUE"""),60)</f>
        <v>60</v>
      </c>
      <c r="E404" s="3">
        <f ca="1">IFERROR(__xludf.DUMMYFUNCTION("""COMPUTED_VALUE"""),60)</f>
        <v>60</v>
      </c>
      <c r="F404" s="3" t="str">
        <f ca="1">IFERROR(__xludf.DUMMYFUNCTION("""COMPUTED_VALUE"""),"秘宝堂")</f>
        <v>秘宝堂</v>
      </c>
      <c r="G404" s="3"/>
    </row>
    <row r="405" spans="1:7" x14ac:dyDescent="0.25">
      <c r="A405" s="3" t="str">
        <f ca="1">IFERROR(__xludf.DUMMYFUNCTION("""COMPUTED_VALUE"""),"キーパー技")</f>
        <v>キーパー技</v>
      </c>
      <c r="B405" s="3" t="str">
        <f ca="1">IFERROR(__xludf.DUMMYFUNCTION("""COMPUTED_VALUE"""),"デュアルスマッシュ")</f>
        <v>デュアルスマッシュ</v>
      </c>
      <c r="C405" s="3" t="str">
        <f ca="1">IFERROR(__xludf.DUMMYFUNCTION("""COMPUTED_VALUE"""),"林")</f>
        <v>林</v>
      </c>
      <c r="D405" s="3">
        <f ca="1">IFERROR(__xludf.DUMMYFUNCTION("""COMPUTED_VALUE"""),60)</f>
        <v>60</v>
      </c>
      <c r="E405" s="3">
        <f ca="1">IFERROR(__xludf.DUMMYFUNCTION("""COMPUTED_VALUE"""),60)</f>
        <v>60</v>
      </c>
      <c r="F405" s="3" t="str">
        <f ca="1">IFERROR(__xludf.DUMMYFUNCTION("""COMPUTED_VALUE"""),"秘宝堂")</f>
        <v>秘宝堂</v>
      </c>
      <c r="G405" s="3"/>
    </row>
    <row r="406" spans="1:7" x14ac:dyDescent="0.25">
      <c r="A406" s="3" t="str">
        <f ca="1">IFERROR(__xludf.DUMMYFUNCTION("""COMPUTED_VALUE"""),"キーパー技")</f>
        <v>キーパー技</v>
      </c>
      <c r="B406" s="3" t="str">
        <f ca="1">IFERROR(__xludf.DUMMYFUNCTION("""COMPUTED_VALUE"""),"ブラックホール")</f>
        <v>ブラックホール</v>
      </c>
      <c r="C406" s="3" t="str">
        <f ca="1">IFERROR(__xludf.DUMMYFUNCTION("""COMPUTED_VALUE"""),"林")</f>
        <v>林</v>
      </c>
      <c r="D406" s="3">
        <f ca="1">IFERROR(__xludf.DUMMYFUNCTION("""COMPUTED_VALUE"""),60)</f>
        <v>60</v>
      </c>
      <c r="E406" s="3">
        <f ca="1">IFERROR(__xludf.DUMMYFUNCTION("""COMPUTED_VALUE"""),60)</f>
        <v>60</v>
      </c>
      <c r="F406" s="3" t="str">
        <f ca="1">IFERROR(__xludf.DUMMYFUNCTION("""COMPUTED_VALUE"""),"秘宝堂")</f>
        <v>秘宝堂</v>
      </c>
      <c r="G406" s="3"/>
    </row>
    <row r="407" spans="1:7" x14ac:dyDescent="0.25">
      <c r="A407" s="3" t="str">
        <f ca="1">IFERROR(__xludf.DUMMYFUNCTION("""COMPUTED_VALUE"""),"キーパー技")</f>
        <v>キーパー技</v>
      </c>
      <c r="B407" s="3" t="str">
        <f ca="1">IFERROR(__xludf.DUMMYFUNCTION("""COMPUTED_VALUE"""),"バーンアウト")</f>
        <v>バーンアウト</v>
      </c>
      <c r="C407" s="3" t="str">
        <f ca="1">IFERROR(__xludf.DUMMYFUNCTION("""COMPUTED_VALUE"""),"火")</f>
        <v>火</v>
      </c>
      <c r="D407" s="3">
        <f ca="1">IFERROR(__xludf.DUMMYFUNCTION("""COMPUTED_VALUE"""),60)</f>
        <v>60</v>
      </c>
      <c r="E407" s="3">
        <f ca="1">IFERROR(__xludf.DUMMYFUNCTION("""COMPUTED_VALUE"""),60)</f>
        <v>60</v>
      </c>
      <c r="F407" s="3" t="str">
        <f ca="1">IFERROR(__xludf.DUMMYFUNCTION("""COMPUTED_VALUE"""),"特訓ショップ")</f>
        <v>特訓ショップ</v>
      </c>
      <c r="G407" s="3"/>
    </row>
    <row r="408" spans="1:7" x14ac:dyDescent="0.25">
      <c r="A408" s="3" t="str">
        <f ca="1">IFERROR(__xludf.DUMMYFUNCTION("""COMPUTED_VALUE"""),"キーパー技")</f>
        <v>キーパー技</v>
      </c>
      <c r="B408" s="3" t="str">
        <f ca="1">IFERROR(__xludf.DUMMYFUNCTION("""COMPUTED_VALUE"""),"アイスブロック")</f>
        <v>アイスブロック</v>
      </c>
      <c r="C408" s="3" t="str">
        <f ca="1">IFERROR(__xludf.DUMMYFUNCTION("""COMPUTED_VALUE"""),"風")</f>
        <v>風</v>
      </c>
      <c r="D408" s="3">
        <f ca="1">IFERROR(__xludf.DUMMYFUNCTION("""COMPUTED_VALUE"""),60)</f>
        <v>60</v>
      </c>
      <c r="E408" s="3">
        <f ca="1">IFERROR(__xludf.DUMMYFUNCTION("""COMPUTED_VALUE"""),60)</f>
        <v>60</v>
      </c>
      <c r="F408" s="3" t="str">
        <f ca="1">IFERROR(__xludf.DUMMYFUNCTION("""COMPUTED_VALUE"""),"特訓ショップ")</f>
        <v>特訓ショップ</v>
      </c>
      <c r="G408" s="3"/>
    </row>
    <row r="409" spans="1:7" x14ac:dyDescent="0.25">
      <c r="A409" s="3" t="str">
        <f ca="1">IFERROR(__xludf.DUMMYFUNCTION("""COMPUTED_VALUE"""),"キーパー技")</f>
        <v>キーパー技</v>
      </c>
      <c r="B409" s="3" t="str">
        <f ca="1">IFERROR(__xludf.DUMMYFUNCTION("""COMPUTED_VALUE"""),"ゴッドハンド")</f>
        <v>ゴッドハンド</v>
      </c>
      <c r="C409" s="3" t="str">
        <f ca="1">IFERROR(__xludf.DUMMYFUNCTION("""COMPUTED_VALUE"""),"林")</f>
        <v>林</v>
      </c>
      <c r="D409" s="3">
        <f ca="1">IFERROR(__xludf.DUMMYFUNCTION("""COMPUTED_VALUE"""),60)</f>
        <v>60</v>
      </c>
      <c r="E409" s="3">
        <f ca="1">IFERROR(__xludf.DUMMYFUNCTION("""COMPUTED_VALUE"""),60)</f>
        <v>60</v>
      </c>
      <c r="F409" s="3" t="str">
        <f ca="1">IFERROR(__xludf.DUMMYFUNCTION("""COMPUTED_VALUE"""),"クロニクル百貨店")</f>
        <v>クロニクル百貨店</v>
      </c>
      <c r="G409" s="3"/>
    </row>
    <row r="410" spans="1:7" x14ac:dyDescent="0.25">
      <c r="A410" s="3" t="str">
        <f ca="1">IFERROR(__xludf.DUMMYFUNCTION("""COMPUTED_VALUE"""),"キーパー技")</f>
        <v>キーパー技</v>
      </c>
      <c r="B410" s="3" t="str">
        <f ca="1">IFERROR(__xludf.DUMMYFUNCTION("""COMPUTED_VALUE"""),"ストームライダー")</f>
        <v>ストームライダー</v>
      </c>
      <c r="C410" s="3" t="str">
        <f ca="1">IFERROR(__xludf.DUMMYFUNCTION("""COMPUTED_VALUE"""),"風")</f>
        <v>風</v>
      </c>
      <c r="D410" s="3">
        <f ca="1">IFERROR(__xludf.DUMMYFUNCTION("""COMPUTED_VALUE"""),60)</f>
        <v>60</v>
      </c>
      <c r="E410" s="3">
        <f ca="1">IFERROR(__xludf.DUMMYFUNCTION("""COMPUTED_VALUE"""),60)</f>
        <v>60</v>
      </c>
      <c r="F410" s="3" t="str">
        <f ca="1">IFERROR(__xludf.DUMMYFUNCTION("""COMPUTED_VALUE"""),"秘宝堂")</f>
        <v>秘宝堂</v>
      </c>
      <c r="G410" s="3"/>
    </row>
    <row r="411" spans="1:7" x14ac:dyDescent="0.25">
      <c r="A411" s="3" t="str">
        <f ca="1">IFERROR(__xludf.DUMMYFUNCTION("""COMPUTED_VALUE"""),"キーパー技")</f>
        <v>キーパー技</v>
      </c>
      <c r="B411" s="3" t="str">
        <f ca="1">IFERROR(__xludf.DUMMYFUNCTION("""COMPUTED_VALUE"""),"フラッシュアッパー")</f>
        <v>フラッシュアッパー</v>
      </c>
      <c r="C411" s="3" t="str">
        <f ca="1">IFERROR(__xludf.DUMMYFUNCTION("""COMPUTED_VALUE"""),"山")</f>
        <v>山</v>
      </c>
      <c r="D411" s="3">
        <f ca="1">IFERROR(__xludf.DUMMYFUNCTION("""COMPUTED_VALUE"""),60)</f>
        <v>60</v>
      </c>
      <c r="E411" s="3">
        <f ca="1">IFERROR(__xludf.DUMMYFUNCTION("""COMPUTED_VALUE"""),60)</f>
        <v>60</v>
      </c>
      <c r="F411" s="3" t="str">
        <f ca="1">IFERROR(__xludf.DUMMYFUNCTION("""COMPUTED_VALUE"""),"特訓ショップ")</f>
        <v>特訓ショップ</v>
      </c>
      <c r="G411" s="3"/>
    </row>
    <row r="412" spans="1:7" x14ac:dyDescent="0.25">
      <c r="A412" s="3" t="str">
        <f ca="1">IFERROR(__xludf.DUMMYFUNCTION("""COMPUTED_VALUE"""),"キーパー技")</f>
        <v>キーパー技</v>
      </c>
      <c r="B412" s="3" t="str">
        <f ca="1">IFERROR(__xludf.DUMMYFUNCTION("""COMPUTED_VALUE"""),"大爆発張り手")</f>
        <v>大爆発張り手</v>
      </c>
      <c r="C412" s="3" t="str">
        <f ca="1">IFERROR(__xludf.DUMMYFUNCTION("""COMPUTED_VALUE"""),"火")</f>
        <v>火</v>
      </c>
      <c r="D412" s="3">
        <f ca="1">IFERROR(__xludf.DUMMYFUNCTION("""COMPUTED_VALUE"""),60)</f>
        <v>60</v>
      </c>
      <c r="E412" s="3">
        <f ca="1">IFERROR(__xludf.DUMMYFUNCTION("""COMPUTED_VALUE"""),60)</f>
        <v>60</v>
      </c>
      <c r="F412" s="3" t="str">
        <f ca="1">IFERROR(__xludf.DUMMYFUNCTION("""COMPUTED_VALUE"""),"特訓ショップ")</f>
        <v>特訓ショップ</v>
      </c>
      <c r="G412" s="3" t="str">
        <f ca="1">IFERROR(__xludf.DUMMYFUNCTION("""COMPUTED_VALUE"""),"パンチング")</f>
        <v>パンチング</v>
      </c>
    </row>
    <row r="413" spans="1:7" x14ac:dyDescent="0.25">
      <c r="A413" s="3" t="str">
        <f ca="1">IFERROR(__xludf.DUMMYFUNCTION("""COMPUTED_VALUE"""),"キーパー技")</f>
        <v>キーパー技</v>
      </c>
      <c r="B413" s="3" t="str">
        <f ca="1">IFERROR(__xludf.DUMMYFUNCTION("""COMPUTED_VALUE"""),"グレートバリアリーフ")</f>
        <v>グレートバリアリーフ</v>
      </c>
      <c r="C413" s="3" t="str">
        <f ca="1">IFERROR(__xludf.DUMMYFUNCTION("""COMPUTED_VALUE"""),"風")</f>
        <v>風</v>
      </c>
      <c r="D413" s="3">
        <f ca="1">IFERROR(__xludf.DUMMYFUNCTION("""COMPUTED_VALUE"""),60)</f>
        <v>60</v>
      </c>
      <c r="E413" s="3">
        <f ca="1">IFERROR(__xludf.DUMMYFUNCTION("""COMPUTED_VALUE"""),60)</f>
        <v>60</v>
      </c>
      <c r="F413" s="3" t="str">
        <f ca="1">IFERROR(__xludf.DUMMYFUNCTION("""COMPUTED_VALUE"""),"秘宝堂")</f>
        <v>秘宝堂</v>
      </c>
      <c r="G413" s="3"/>
    </row>
    <row r="414" spans="1:7" x14ac:dyDescent="0.25">
      <c r="A414" s="3" t="str">
        <f ca="1">IFERROR(__xludf.DUMMYFUNCTION("""COMPUTED_VALUE"""),"キーパー技")</f>
        <v>キーパー技</v>
      </c>
      <c r="B414" s="3" t="str">
        <f ca="1">IFERROR(__xludf.DUMMYFUNCTION("""COMPUTED_VALUE"""),"ビッグスパイダー")</f>
        <v>ビッグスパイダー</v>
      </c>
      <c r="C414" s="3" t="str">
        <f ca="1">IFERROR(__xludf.DUMMYFUNCTION("""COMPUTED_VALUE"""),"林")</f>
        <v>林</v>
      </c>
      <c r="D414" s="3">
        <f ca="1">IFERROR(__xludf.DUMMYFUNCTION("""COMPUTED_VALUE"""),60)</f>
        <v>60</v>
      </c>
      <c r="E414" s="3">
        <f ca="1">IFERROR(__xludf.DUMMYFUNCTION("""COMPUTED_VALUE"""),60)</f>
        <v>60</v>
      </c>
      <c r="F414" s="3" t="str">
        <f ca="1">IFERROR(__xludf.DUMMYFUNCTION("""COMPUTED_VALUE"""),"秘宝堂")</f>
        <v>秘宝堂</v>
      </c>
      <c r="G414" s="3"/>
    </row>
    <row r="415" spans="1:7" x14ac:dyDescent="0.25">
      <c r="A415" s="3" t="str">
        <f ca="1">IFERROR(__xludf.DUMMYFUNCTION("""COMPUTED_VALUE"""),"キーパー技")</f>
        <v>キーパー技</v>
      </c>
      <c r="B415" s="3" t="str">
        <f ca="1">IFERROR(__xludf.DUMMYFUNCTION("""COMPUTED_VALUE"""),"ガラティーン")</f>
        <v>ガラティーン</v>
      </c>
      <c r="C415" s="3" t="str">
        <f ca="1">IFERROR(__xludf.DUMMYFUNCTION("""COMPUTED_VALUE"""),"風")</f>
        <v>風</v>
      </c>
      <c r="D415" s="3">
        <f ca="1">IFERROR(__xludf.DUMMYFUNCTION("""COMPUTED_VALUE"""),60)</f>
        <v>60</v>
      </c>
      <c r="E415" s="3">
        <f ca="1">IFERROR(__xludf.DUMMYFUNCTION("""COMPUTED_VALUE"""),60)</f>
        <v>60</v>
      </c>
      <c r="F415" s="3" t="str">
        <f ca="1">IFERROR(__xludf.DUMMYFUNCTION("""COMPUTED_VALUE"""),"秘宝堂")</f>
        <v>秘宝堂</v>
      </c>
      <c r="G415" s="3"/>
    </row>
    <row r="416" spans="1:7" x14ac:dyDescent="0.25">
      <c r="A416" s="3" t="str">
        <f ca="1">IFERROR(__xludf.DUMMYFUNCTION("""COMPUTED_VALUE"""),"キーパー技")</f>
        <v>キーパー技</v>
      </c>
      <c r="B416" s="3" t="str">
        <f ca="1">IFERROR(__xludf.DUMMYFUNCTION("""COMPUTED_VALUE"""),"コロッセオガード")</f>
        <v>コロッセオガード</v>
      </c>
      <c r="C416" s="3" t="str">
        <f ca="1">IFERROR(__xludf.DUMMYFUNCTION("""COMPUTED_VALUE"""),"山")</f>
        <v>山</v>
      </c>
      <c r="D416" s="3">
        <f ca="1">IFERROR(__xludf.DUMMYFUNCTION("""COMPUTED_VALUE"""),60)</f>
        <v>60</v>
      </c>
      <c r="E416" s="3">
        <f ca="1">IFERROR(__xludf.DUMMYFUNCTION("""COMPUTED_VALUE"""),60)</f>
        <v>60</v>
      </c>
      <c r="F416" s="3" t="str">
        <f ca="1">IFERROR(__xludf.DUMMYFUNCTION("""COMPUTED_VALUE"""),"特訓ショップ")</f>
        <v>特訓ショップ</v>
      </c>
      <c r="G416" s="3"/>
    </row>
    <row r="417" spans="1:7" x14ac:dyDescent="0.25">
      <c r="A417" s="3" t="str">
        <f ca="1">IFERROR(__xludf.DUMMYFUNCTION("""COMPUTED_VALUE"""),"キーパー技")</f>
        <v>キーパー技</v>
      </c>
      <c r="B417" s="3" t="str">
        <f ca="1">IFERROR(__xludf.DUMMYFUNCTION("""COMPUTED_VALUE"""),"カポエィラスナッチ")</f>
        <v>カポエィラスナッチ</v>
      </c>
      <c r="C417" s="3" t="str">
        <f ca="1">IFERROR(__xludf.DUMMYFUNCTION("""COMPUTED_VALUE"""),"山")</f>
        <v>山</v>
      </c>
      <c r="D417" s="3">
        <f ca="1">IFERROR(__xludf.DUMMYFUNCTION("""COMPUTED_VALUE"""),60)</f>
        <v>60</v>
      </c>
      <c r="E417" s="3">
        <f ca="1">IFERROR(__xludf.DUMMYFUNCTION("""COMPUTED_VALUE"""),60)</f>
        <v>60</v>
      </c>
      <c r="F417" s="3" t="str">
        <f ca="1">IFERROR(__xludf.DUMMYFUNCTION("""COMPUTED_VALUE"""),"秘宝堂")</f>
        <v>秘宝堂</v>
      </c>
      <c r="G417" s="3"/>
    </row>
    <row r="418" spans="1:7" x14ac:dyDescent="0.25">
      <c r="A418" s="3" t="str">
        <f ca="1">IFERROR(__xludf.DUMMYFUNCTION("""COMPUTED_VALUE"""),"キーパー技")</f>
        <v>キーパー技</v>
      </c>
      <c r="B418" s="3" t="str">
        <f ca="1">IFERROR(__xludf.DUMMYFUNCTION("""COMPUTED_VALUE"""),"エレキトラップ")</f>
        <v>エレキトラップ</v>
      </c>
      <c r="C418" s="3" t="str">
        <f ca="1">IFERROR(__xludf.DUMMYFUNCTION("""COMPUTED_VALUE"""),"風")</f>
        <v>風</v>
      </c>
      <c r="D418" s="3">
        <f ca="1">IFERROR(__xludf.DUMMYFUNCTION("""COMPUTED_VALUE"""),60)</f>
        <v>60</v>
      </c>
      <c r="E418" s="3">
        <f ca="1">IFERROR(__xludf.DUMMYFUNCTION("""COMPUTED_VALUE"""),60)</f>
        <v>60</v>
      </c>
      <c r="F418" s="3" t="str">
        <f ca="1">IFERROR(__xludf.DUMMYFUNCTION("""COMPUTED_VALUE"""),"特訓ショップ")</f>
        <v>特訓ショップ</v>
      </c>
      <c r="G418" s="3"/>
    </row>
    <row r="419" spans="1:7" x14ac:dyDescent="0.25">
      <c r="A419" s="3" t="str">
        <f ca="1">IFERROR(__xludf.DUMMYFUNCTION("""COMPUTED_VALUE"""),"キーパー技")</f>
        <v>キーパー技</v>
      </c>
      <c r="B419" s="3" t="str">
        <f ca="1">IFERROR(__xludf.DUMMYFUNCTION("""COMPUTED_VALUE"""),"ニードルハンマー")</f>
        <v>ニードルハンマー</v>
      </c>
      <c r="C419" s="3" t="str">
        <f ca="1">IFERROR(__xludf.DUMMYFUNCTION("""COMPUTED_VALUE"""),"風")</f>
        <v>風</v>
      </c>
      <c r="D419" s="3">
        <f ca="1">IFERROR(__xludf.DUMMYFUNCTION("""COMPUTED_VALUE"""),60)</f>
        <v>60</v>
      </c>
      <c r="E419" s="3">
        <f ca="1">IFERROR(__xludf.DUMMYFUNCTION("""COMPUTED_VALUE"""),60)</f>
        <v>60</v>
      </c>
      <c r="F419" s="3" t="str">
        <f ca="1">IFERROR(__xludf.DUMMYFUNCTION("""COMPUTED_VALUE"""),"秘宝堂")</f>
        <v>秘宝堂</v>
      </c>
      <c r="G419" s="3"/>
    </row>
    <row r="420" spans="1:7" x14ac:dyDescent="0.25">
      <c r="A420" s="3" t="str">
        <f ca="1">IFERROR(__xludf.DUMMYFUNCTION("""COMPUTED_VALUE"""),"キーパー技")</f>
        <v>キーパー技</v>
      </c>
      <c r="B420" s="3" t="str">
        <f ca="1">IFERROR(__xludf.DUMMYFUNCTION("""COMPUTED_VALUE"""),"フェンス・オブ・ガイア")</f>
        <v>フェンス・オブ・ガイア</v>
      </c>
      <c r="C420" s="3" t="str">
        <f ca="1">IFERROR(__xludf.DUMMYFUNCTION("""COMPUTED_VALUE"""),"山")</f>
        <v>山</v>
      </c>
      <c r="D420" s="3">
        <f ca="1">IFERROR(__xludf.DUMMYFUNCTION("""COMPUTED_VALUE"""),60)</f>
        <v>60</v>
      </c>
      <c r="E420" s="3">
        <f ca="1">IFERROR(__xludf.DUMMYFUNCTION("""COMPUTED_VALUE"""),60)</f>
        <v>60</v>
      </c>
      <c r="F420" s="3" t="str">
        <f ca="1">IFERROR(__xludf.DUMMYFUNCTION("""COMPUTED_VALUE"""),"VSストア")</f>
        <v>VSストア</v>
      </c>
      <c r="G420" s="3" t="str">
        <f ca="1">IFERROR(__xludf.DUMMYFUNCTION("""COMPUTED_VALUE"""),"パンチング")</f>
        <v>パンチング</v>
      </c>
    </row>
    <row r="421" spans="1:7" x14ac:dyDescent="0.25">
      <c r="A421" s="3" t="str">
        <f ca="1">IFERROR(__xludf.DUMMYFUNCTION("""COMPUTED_VALUE"""),"キーパー技")</f>
        <v>キーパー技</v>
      </c>
      <c r="B421" s="3" t="str">
        <f ca="1">IFERROR(__xludf.DUMMYFUNCTION("""COMPUTED_VALUE"""),"クリスタルバリア")</f>
        <v>クリスタルバリア</v>
      </c>
      <c r="C421" s="3" t="str">
        <f ca="1">IFERROR(__xludf.DUMMYFUNCTION("""COMPUTED_VALUE"""),"風")</f>
        <v>風</v>
      </c>
      <c r="D421" s="3">
        <f ca="1">IFERROR(__xludf.DUMMYFUNCTION("""COMPUTED_VALUE"""),60)</f>
        <v>60</v>
      </c>
      <c r="E421" s="3">
        <f ca="1">IFERROR(__xludf.DUMMYFUNCTION("""COMPUTED_VALUE"""),60)</f>
        <v>60</v>
      </c>
      <c r="F421" s="3" t="str">
        <f ca="1">IFERROR(__xludf.DUMMYFUNCTION("""COMPUTED_VALUE"""),"秘宝堂")</f>
        <v>秘宝堂</v>
      </c>
      <c r="G421" s="3"/>
    </row>
    <row r="422" spans="1:7" x14ac:dyDescent="0.25">
      <c r="A422" s="3" t="str">
        <f ca="1">IFERROR(__xludf.DUMMYFUNCTION("""COMPUTED_VALUE"""),"キーパー技")</f>
        <v>キーパー技</v>
      </c>
      <c r="B422" s="3" t="str">
        <f ca="1">IFERROR(__xludf.DUMMYFUNCTION("""COMPUTED_VALUE"""),"シュートブレイク")</f>
        <v>シュートブレイク</v>
      </c>
      <c r="C422" s="3" t="str">
        <f ca="1">IFERROR(__xludf.DUMMYFUNCTION("""COMPUTED_VALUE"""),"火")</f>
        <v>火</v>
      </c>
      <c r="D422" s="3">
        <f ca="1">IFERROR(__xludf.DUMMYFUNCTION("""COMPUTED_VALUE"""),60)</f>
        <v>60</v>
      </c>
      <c r="E422" s="3">
        <f ca="1">IFERROR(__xludf.DUMMYFUNCTION("""COMPUTED_VALUE"""),60)</f>
        <v>60</v>
      </c>
      <c r="F422" s="3" t="str">
        <f ca="1">IFERROR(__xludf.DUMMYFUNCTION("""COMPUTED_VALUE"""),"秘宝堂")</f>
        <v>秘宝堂</v>
      </c>
      <c r="G422" s="3"/>
    </row>
    <row r="423" spans="1:7" x14ac:dyDescent="0.25">
      <c r="A423" s="3" t="str">
        <f ca="1">IFERROR(__xludf.DUMMYFUNCTION("""COMPUTED_VALUE"""),"キーパー技")</f>
        <v>キーパー技</v>
      </c>
      <c r="B423" s="3" t="str">
        <f ca="1">IFERROR(__xludf.DUMMYFUNCTION("""COMPUTED_VALUE"""),"ドーンシャウト")</f>
        <v>ドーンシャウト</v>
      </c>
      <c r="C423" s="3" t="str">
        <f ca="1">IFERROR(__xludf.DUMMYFUNCTION("""COMPUTED_VALUE"""),"林")</f>
        <v>林</v>
      </c>
      <c r="D423" s="3">
        <f ca="1">IFERROR(__xludf.DUMMYFUNCTION("""COMPUTED_VALUE"""),60)</f>
        <v>60</v>
      </c>
      <c r="E423" s="3">
        <f ca="1">IFERROR(__xludf.DUMMYFUNCTION("""COMPUTED_VALUE"""),60)</f>
        <v>60</v>
      </c>
      <c r="F423" s="3" t="str">
        <f ca="1">IFERROR(__xludf.DUMMYFUNCTION("""COMPUTED_VALUE"""),"VSストア")</f>
        <v>VSストア</v>
      </c>
      <c r="G423" s="3"/>
    </row>
    <row r="424" spans="1:7" x14ac:dyDescent="0.25">
      <c r="A424" s="3" t="str">
        <f ca="1">IFERROR(__xludf.DUMMYFUNCTION("""COMPUTED_VALUE"""),"キーパー技")</f>
        <v>キーパー技</v>
      </c>
      <c r="B424" s="3" t="str">
        <f ca="1">IFERROR(__xludf.DUMMYFUNCTION("""COMPUTED_VALUE"""),"ジャイロセービング")</f>
        <v>ジャイロセービング</v>
      </c>
      <c r="C424" s="3" t="str">
        <f ca="1">IFERROR(__xludf.DUMMYFUNCTION("""COMPUTED_VALUE"""),"林")</f>
        <v>林</v>
      </c>
      <c r="D424" s="3">
        <f ca="1">IFERROR(__xludf.DUMMYFUNCTION("""COMPUTED_VALUE"""),60)</f>
        <v>60</v>
      </c>
      <c r="E424" s="3">
        <f ca="1">IFERROR(__xludf.DUMMYFUNCTION("""COMPUTED_VALUE"""),60)</f>
        <v>60</v>
      </c>
      <c r="F424" s="3" t="str">
        <f ca="1">IFERROR(__xludf.DUMMYFUNCTION("""COMPUTED_VALUE"""),"特訓ショップ")</f>
        <v>特訓ショップ</v>
      </c>
      <c r="G424" s="3"/>
    </row>
    <row r="425" spans="1:7" x14ac:dyDescent="0.25">
      <c r="A425" s="3" t="str">
        <f ca="1">IFERROR(__xludf.DUMMYFUNCTION("""COMPUTED_VALUE"""),"キーパー技")</f>
        <v>キーパー技</v>
      </c>
      <c r="B425" s="3" t="str">
        <f ca="1">IFERROR(__xludf.DUMMYFUNCTION("""COMPUTED_VALUE"""),"ぶっとびパンチ")</f>
        <v>ぶっとびパンチ</v>
      </c>
      <c r="C425" s="3" t="str">
        <f ca="1">IFERROR(__xludf.DUMMYFUNCTION("""COMPUTED_VALUE"""),"山")</f>
        <v>山</v>
      </c>
      <c r="D425" s="3">
        <f ca="1">IFERROR(__xludf.DUMMYFUNCTION("""COMPUTED_VALUE"""),60)</f>
        <v>60</v>
      </c>
      <c r="E425" s="3">
        <f ca="1">IFERROR(__xludf.DUMMYFUNCTION("""COMPUTED_VALUE"""),60)</f>
        <v>60</v>
      </c>
      <c r="F425" s="3" t="str">
        <f ca="1">IFERROR(__xludf.DUMMYFUNCTION("""COMPUTED_VALUE"""),"VSストア")</f>
        <v>VSストア</v>
      </c>
      <c r="G425" s="3" t="str">
        <f ca="1">IFERROR(__xludf.DUMMYFUNCTION("""COMPUTED_VALUE"""),"パンチング")</f>
        <v>パンチング</v>
      </c>
    </row>
    <row r="426" spans="1:7" x14ac:dyDescent="0.25">
      <c r="A426" s="3" t="str">
        <f ca="1">IFERROR(__xludf.DUMMYFUNCTION("""COMPUTED_VALUE"""),"キーパー技")</f>
        <v>キーパー技</v>
      </c>
      <c r="B426" s="3" t="str">
        <f ca="1">IFERROR(__xludf.DUMMYFUNCTION("""COMPUTED_VALUE"""),"氷結の舞")</f>
        <v>氷結の舞</v>
      </c>
      <c r="C426" s="3" t="str">
        <f ca="1">IFERROR(__xludf.DUMMYFUNCTION("""COMPUTED_VALUE"""),"風")</f>
        <v>風</v>
      </c>
      <c r="D426" s="3">
        <f ca="1">IFERROR(__xludf.DUMMYFUNCTION("""COMPUTED_VALUE"""),60)</f>
        <v>60</v>
      </c>
      <c r="E426" s="3">
        <f ca="1">IFERROR(__xludf.DUMMYFUNCTION("""COMPUTED_VALUE"""),60)</f>
        <v>60</v>
      </c>
      <c r="F426" s="3" t="str">
        <f ca="1">IFERROR(__xludf.DUMMYFUNCTION("""COMPUTED_VALUE"""),"特訓ショップ")</f>
        <v>特訓ショップ</v>
      </c>
      <c r="G426" s="3"/>
    </row>
    <row r="427" spans="1:7" x14ac:dyDescent="0.25">
      <c r="A427" s="3" t="str">
        <f ca="1">IFERROR(__xludf.DUMMYFUNCTION("""COMPUTED_VALUE"""),"キーパー技")</f>
        <v>キーパー技</v>
      </c>
      <c r="B427" s="3" t="str">
        <f ca="1">IFERROR(__xludf.DUMMYFUNCTION("""COMPUTED_VALUE"""),"グラビティデザート")</f>
        <v>グラビティデザート</v>
      </c>
      <c r="C427" s="3" t="str">
        <f ca="1">IFERROR(__xludf.DUMMYFUNCTION("""COMPUTED_VALUE"""),"山")</f>
        <v>山</v>
      </c>
      <c r="D427" s="3">
        <f ca="1">IFERROR(__xludf.DUMMYFUNCTION("""COMPUTED_VALUE"""),60)</f>
        <v>60</v>
      </c>
      <c r="E427" s="3">
        <f ca="1">IFERROR(__xludf.DUMMYFUNCTION("""COMPUTED_VALUE"""),60)</f>
        <v>60</v>
      </c>
      <c r="F427" s="3" t="str">
        <f ca="1">IFERROR(__xludf.DUMMYFUNCTION("""COMPUTED_VALUE"""),"特訓ショップ")</f>
        <v>特訓ショップ</v>
      </c>
      <c r="G427" s="3"/>
    </row>
    <row r="428" spans="1:7" x14ac:dyDescent="0.25">
      <c r="A428" s="3" t="str">
        <f ca="1">IFERROR(__xludf.DUMMYFUNCTION("""COMPUTED_VALUE"""),"キーパー技")</f>
        <v>キーパー技</v>
      </c>
      <c r="B428" s="3" t="str">
        <f ca="1">IFERROR(__xludf.DUMMYFUNCTION("""COMPUTED_VALUE"""),"明鏡止水")</f>
        <v>明鏡止水</v>
      </c>
      <c r="C428" s="3" t="str">
        <f ca="1">IFERROR(__xludf.DUMMYFUNCTION("""COMPUTED_VALUE"""),"風")</f>
        <v>風</v>
      </c>
      <c r="D428" s="3">
        <f ca="1">IFERROR(__xludf.DUMMYFUNCTION("""COMPUTED_VALUE"""),60)</f>
        <v>60</v>
      </c>
      <c r="E428" s="3">
        <f ca="1">IFERROR(__xludf.DUMMYFUNCTION("""COMPUTED_VALUE"""),60)</f>
        <v>60</v>
      </c>
      <c r="F428" s="3" t="str">
        <f ca="1">IFERROR(__xludf.DUMMYFUNCTION("""COMPUTED_VALUE"""),"特訓ショップ")</f>
        <v>特訓ショップ</v>
      </c>
      <c r="G428" s="3"/>
    </row>
    <row r="429" spans="1:7" x14ac:dyDescent="0.25">
      <c r="A429" s="3" t="str">
        <f ca="1">IFERROR(__xludf.DUMMYFUNCTION("""COMPUTED_VALUE"""),"キーパー技")</f>
        <v>キーパー技</v>
      </c>
      <c r="B429" s="3" t="str">
        <f ca="1">IFERROR(__xludf.DUMMYFUNCTION("""COMPUTED_VALUE"""),"熱血パンチ")</f>
        <v>熱血パンチ</v>
      </c>
      <c r="C429" s="3" t="str">
        <f ca="1">IFERROR(__xludf.DUMMYFUNCTION("""COMPUTED_VALUE"""),"火")</f>
        <v>火</v>
      </c>
      <c r="D429" s="3">
        <f ca="1">IFERROR(__xludf.DUMMYFUNCTION("""COMPUTED_VALUE"""),50)</f>
        <v>50</v>
      </c>
      <c r="E429" s="3">
        <f ca="1">IFERROR(__xludf.DUMMYFUNCTION("""COMPUTED_VALUE"""),50)</f>
        <v>50</v>
      </c>
      <c r="F429" s="3" t="str">
        <f ca="1">IFERROR(__xludf.DUMMYFUNCTION("""COMPUTED_VALUE"""),"VSストア")</f>
        <v>VSストア</v>
      </c>
      <c r="G429" s="3" t="str">
        <f ca="1">IFERROR(__xludf.DUMMYFUNCTION("""COMPUTED_VALUE"""),"パンチング")</f>
        <v>パンチング</v>
      </c>
    </row>
    <row r="430" spans="1:7" x14ac:dyDescent="0.25">
      <c r="A430" s="3" t="str">
        <f ca="1">IFERROR(__xludf.DUMMYFUNCTION("""COMPUTED_VALUE"""),"キーパー技")</f>
        <v>キーパー技</v>
      </c>
      <c r="B430" s="3" t="str">
        <f ca="1">IFERROR(__xludf.DUMMYFUNCTION("""COMPUTED_VALUE"""),"シュートポケット")</f>
        <v>シュートポケット</v>
      </c>
      <c r="C430" s="3" t="str">
        <f ca="1">IFERROR(__xludf.DUMMYFUNCTION("""COMPUTED_VALUE"""),"林")</f>
        <v>林</v>
      </c>
      <c r="D430" s="3">
        <f ca="1">IFERROR(__xludf.DUMMYFUNCTION("""COMPUTED_VALUE"""),50)</f>
        <v>50</v>
      </c>
      <c r="E430" s="3">
        <f ca="1">IFERROR(__xludf.DUMMYFUNCTION("""COMPUTED_VALUE"""),50)</f>
        <v>50</v>
      </c>
      <c r="F430" s="3" t="str">
        <f ca="1">IFERROR(__xludf.DUMMYFUNCTION("""COMPUTED_VALUE"""),"特訓ショップ")</f>
        <v>特訓ショップ</v>
      </c>
      <c r="G430" s="3"/>
    </row>
    <row r="431" spans="1:7" x14ac:dyDescent="0.25">
      <c r="A431" s="3" t="str">
        <f ca="1">IFERROR(__xludf.DUMMYFUNCTION("""COMPUTED_VALUE"""),"キーパー技")</f>
        <v>キーパー技</v>
      </c>
      <c r="B431" s="3" t="str">
        <f ca="1">IFERROR(__xludf.DUMMYFUNCTION("""COMPUTED_VALUE"""),"ゆがむ空間")</f>
        <v>ゆがむ空間</v>
      </c>
      <c r="C431" s="3" t="str">
        <f ca="1">IFERROR(__xludf.DUMMYFUNCTION("""COMPUTED_VALUE"""),"林")</f>
        <v>林</v>
      </c>
      <c r="D431" s="3">
        <f ca="1">IFERROR(__xludf.DUMMYFUNCTION("""COMPUTED_VALUE"""),50)</f>
        <v>50</v>
      </c>
      <c r="E431" s="3">
        <f ca="1">IFERROR(__xludf.DUMMYFUNCTION("""COMPUTED_VALUE"""),50)</f>
        <v>50</v>
      </c>
      <c r="F431" s="3" t="str">
        <f ca="1">IFERROR(__xludf.DUMMYFUNCTION("""COMPUTED_VALUE"""),"VSストア")</f>
        <v>VSストア</v>
      </c>
      <c r="G431" s="3"/>
    </row>
    <row r="432" spans="1:7" x14ac:dyDescent="0.25">
      <c r="A432" s="3" t="str">
        <f ca="1">IFERROR(__xludf.DUMMYFUNCTION("""COMPUTED_VALUE"""),"キーパー技")</f>
        <v>キーパー技</v>
      </c>
      <c r="B432" s="3" t="str">
        <f ca="1">IFERROR(__xludf.DUMMYFUNCTION("""COMPUTED_VALUE"""),"つむじ")</f>
        <v>つむじ</v>
      </c>
      <c r="C432" s="3" t="str">
        <f ca="1">IFERROR(__xludf.DUMMYFUNCTION("""COMPUTED_VALUE"""),"風")</f>
        <v>風</v>
      </c>
      <c r="D432" s="3">
        <f ca="1">IFERROR(__xludf.DUMMYFUNCTION("""COMPUTED_VALUE"""),50)</f>
        <v>50</v>
      </c>
      <c r="E432" s="3">
        <f ca="1">IFERROR(__xludf.DUMMYFUNCTION("""COMPUTED_VALUE"""),50)</f>
        <v>50</v>
      </c>
      <c r="F432" s="3" t="str">
        <f ca="1">IFERROR(__xludf.DUMMYFUNCTION("""COMPUTED_VALUE"""),"秘宝堂")</f>
        <v>秘宝堂</v>
      </c>
      <c r="G432" s="3"/>
    </row>
    <row r="433" spans="1:7" x14ac:dyDescent="0.25">
      <c r="A433" s="3" t="str">
        <f ca="1">IFERROR(__xludf.DUMMYFUNCTION("""COMPUTED_VALUE"""),"キーパー技")</f>
        <v>キーパー技</v>
      </c>
      <c r="B433" s="3" t="str">
        <f ca="1">IFERROR(__xludf.DUMMYFUNCTION("""COMPUTED_VALUE"""),"火炎放射")</f>
        <v>火炎放射</v>
      </c>
      <c r="C433" s="3" t="str">
        <f ca="1">IFERROR(__xludf.DUMMYFUNCTION("""COMPUTED_VALUE"""),"火")</f>
        <v>火</v>
      </c>
      <c r="D433" s="3">
        <f ca="1">IFERROR(__xludf.DUMMYFUNCTION("""COMPUTED_VALUE"""),50)</f>
        <v>50</v>
      </c>
      <c r="E433" s="3">
        <f ca="1">IFERROR(__xludf.DUMMYFUNCTION("""COMPUTED_VALUE"""),50)</f>
        <v>50</v>
      </c>
      <c r="F433" s="3" t="str">
        <f ca="1">IFERROR(__xludf.DUMMYFUNCTION("""COMPUTED_VALUE"""),"VSストア")</f>
        <v>VSストア</v>
      </c>
      <c r="G433" s="3"/>
    </row>
    <row r="434" spans="1:7" x14ac:dyDescent="0.25">
      <c r="A434" s="3" t="str">
        <f ca="1">IFERROR(__xludf.DUMMYFUNCTION("""COMPUTED_VALUE"""),"キーパー技")</f>
        <v>キーパー技</v>
      </c>
      <c r="B434" s="3" t="str">
        <f ca="1">IFERROR(__xludf.DUMMYFUNCTION("""COMPUTED_VALUE"""),"花吹雪")</f>
        <v>花吹雪</v>
      </c>
      <c r="C434" s="3" t="str">
        <f ca="1">IFERROR(__xludf.DUMMYFUNCTION("""COMPUTED_VALUE"""),"風")</f>
        <v>風</v>
      </c>
      <c r="D434" s="3">
        <f ca="1">IFERROR(__xludf.DUMMYFUNCTION("""COMPUTED_VALUE"""),50)</f>
        <v>50</v>
      </c>
      <c r="E434" s="3">
        <f ca="1">IFERROR(__xludf.DUMMYFUNCTION("""COMPUTED_VALUE"""),50)</f>
        <v>50</v>
      </c>
      <c r="F434" s="3" t="str">
        <f ca="1">IFERROR(__xludf.DUMMYFUNCTION("""COMPUTED_VALUE"""),"秘宝堂")</f>
        <v>秘宝堂</v>
      </c>
      <c r="G434" s="3"/>
    </row>
    <row r="435" spans="1:7" x14ac:dyDescent="0.25">
      <c r="A435" s="3" t="str">
        <f ca="1">IFERROR(__xludf.DUMMYFUNCTION("""COMPUTED_VALUE"""),"キーパー技")</f>
        <v>キーパー技</v>
      </c>
      <c r="B435" s="3" t="str">
        <f ca="1">IFERROR(__xludf.DUMMYFUNCTION("""COMPUTED_VALUE"""),"セーフティープロテクト")</f>
        <v>セーフティープロテクト</v>
      </c>
      <c r="C435" s="3" t="str">
        <f ca="1">IFERROR(__xludf.DUMMYFUNCTION("""COMPUTED_VALUE"""),"風")</f>
        <v>風</v>
      </c>
      <c r="D435" s="3">
        <f ca="1">IFERROR(__xludf.DUMMYFUNCTION("""COMPUTED_VALUE"""),50)</f>
        <v>50</v>
      </c>
      <c r="E435" s="3">
        <f ca="1">IFERROR(__xludf.DUMMYFUNCTION("""COMPUTED_VALUE"""),50)</f>
        <v>50</v>
      </c>
      <c r="F435" s="3" t="str">
        <f ca="1">IFERROR(__xludf.DUMMYFUNCTION("""COMPUTED_VALUE"""),"VSストア")</f>
        <v>VSストア</v>
      </c>
      <c r="G435" s="3" t="str">
        <f ca="1">IFERROR(__xludf.DUMMYFUNCTION("""COMPUTED_VALUE"""),"パンチング")</f>
        <v>パンチング</v>
      </c>
    </row>
    <row r="436" spans="1:7" x14ac:dyDescent="0.25">
      <c r="A436" s="3" t="str">
        <f ca="1">IFERROR(__xludf.DUMMYFUNCTION("""COMPUTED_VALUE"""),"キーパー技")</f>
        <v>キーパー技</v>
      </c>
      <c r="B436" s="3" t="str">
        <f ca="1">IFERROR(__xludf.DUMMYFUNCTION("""COMPUTED_VALUE"""),"ハイドロアンカー")</f>
        <v>ハイドロアンカー</v>
      </c>
      <c r="C436" s="3" t="str">
        <f ca="1">IFERROR(__xludf.DUMMYFUNCTION("""COMPUTED_VALUE"""),"風")</f>
        <v>風</v>
      </c>
      <c r="D436" s="3">
        <f ca="1">IFERROR(__xludf.DUMMYFUNCTION("""COMPUTED_VALUE"""),50)</f>
        <v>50</v>
      </c>
      <c r="E436" s="3">
        <f ca="1">IFERROR(__xludf.DUMMYFUNCTION("""COMPUTED_VALUE"""),50)</f>
        <v>50</v>
      </c>
      <c r="F436" s="3" t="str">
        <f ca="1">IFERROR(__xludf.DUMMYFUNCTION("""COMPUTED_VALUE"""),"秘宝堂")</f>
        <v>秘宝堂</v>
      </c>
      <c r="G436" s="3"/>
    </row>
    <row r="437" spans="1:7" x14ac:dyDescent="0.25">
      <c r="A437" s="3" t="str">
        <f ca="1">IFERROR(__xludf.DUMMYFUNCTION("""COMPUTED_VALUE"""),"キーパー技")</f>
        <v>キーパー技</v>
      </c>
      <c r="B437" s="3" t="str">
        <f ca="1">IFERROR(__xludf.DUMMYFUNCTION("""COMPUTED_VALUE"""),"バーニングキャッチ")</f>
        <v>バーニングキャッチ</v>
      </c>
      <c r="C437" s="3" t="str">
        <f ca="1">IFERROR(__xludf.DUMMYFUNCTION("""COMPUTED_VALUE"""),"火")</f>
        <v>火</v>
      </c>
      <c r="D437" s="3">
        <f ca="1">IFERROR(__xludf.DUMMYFUNCTION("""COMPUTED_VALUE"""),50)</f>
        <v>50</v>
      </c>
      <c r="E437" s="3">
        <f ca="1">IFERROR(__xludf.DUMMYFUNCTION("""COMPUTED_VALUE"""),50)</f>
        <v>50</v>
      </c>
      <c r="F437" s="3" t="str">
        <f ca="1">IFERROR(__xludf.DUMMYFUNCTION("""COMPUTED_VALUE"""),"クロニクル百貨店")</f>
        <v>クロニクル百貨店</v>
      </c>
      <c r="G437" s="3"/>
    </row>
    <row r="438" spans="1:7" x14ac:dyDescent="0.25">
      <c r="A438" s="3" t="str">
        <f ca="1">IFERROR(__xludf.DUMMYFUNCTION("""COMPUTED_VALUE"""),"キーパー技")</f>
        <v>キーパー技</v>
      </c>
      <c r="B438" s="3" t="str">
        <f ca="1">IFERROR(__xludf.DUMMYFUNCTION("""COMPUTED_VALUE"""),"影掴み")</f>
        <v>影掴み</v>
      </c>
      <c r="C438" s="3" t="str">
        <f ca="1">IFERROR(__xludf.DUMMYFUNCTION("""COMPUTED_VALUE"""),"林")</f>
        <v>林</v>
      </c>
      <c r="D438" s="3">
        <f ca="1">IFERROR(__xludf.DUMMYFUNCTION("""COMPUTED_VALUE"""),50)</f>
        <v>50</v>
      </c>
      <c r="E438" s="3">
        <f ca="1">IFERROR(__xludf.DUMMYFUNCTION("""COMPUTED_VALUE"""),50)</f>
        <v>50</v>
      </c>
      <c r="F438" s="3" t="str">
        <f ca="1">IFERROR(__xludf.DUMMYFUNCTION("""COMPUTED_VALUE"""),"秘宝堂")</f>
        <v>秘宝堂</v>
      </c>
      <c r="G438" s="3"/>
    </row>
    <row r="439" spans="1:7" x14ac:dyDescent="0.25">
      <c r="A439" s="3" t="str">
        <f ca="1">IFERROR(__xludf.DUMMYFUNCTION("""COMPUTED_VALUE"""),"キーパー技")</f>
        <v>キーパー技</v>
      </c>
      <c r="B439" s="3" t="str">
        <f ca="1">IFERROR(__xludf.DUMMYFUNCTION("""COMPUTED_VALUE"""),"ムーンサルトスタンプ")</f>
        <v>ムーンサルトスタンプ</v>
      </c>
      <c r="C439" s="3" t="str">
        <f ca="1">IFERROR(__xludf.DUMMYFUNCTION("""COMPUTED_VALUE"""),"風")</f>
        <v>風</v>
      </c>
      <c r="D439" s="3">
        <f ca="1">IFERROR(__xludf.DUMMYFUNCTION("""COMPUTED_VALUE"""),50)</f>
        <v>50</v>
      </c>
      <c r="E439" s="3">
        <f ca="1">IFERROR(__xludf.DUMMYFUNCTION("""COMPUTED_VALUE"""),50)</f>
        <v>50</v>
      </c>
      <c r="F439" s="3" t="str">
        <f ca="1">IFERROR(__xludf.DUMMYFUNCTION("""COMPUTED_VALUE"""),"秘宝堂")</f>
        <v>秘宝堂</v>
      </c>
      <c r="G439" s="3"/>
    </row>
    <row r="440" spans="1:7" x14ac:dyDescent="0.25">
      <c r="A440" s="3" t="str">
        <f ca="1">IFERROR(__xludf.DUMMYFUNCTION("""COMPUTED_VALUE"""),"キーパー技")</f>
        <v>キーパー技</v>
      </c>
      <c r="B440" s="3" t="str">
        <f ca="1">IFERROR(__xludf.DUMMYFUNCTION("""COMPUTED_VALUE"""),"パワースパイク")</f>
        <v>パワースパイク</v>
      </c>
      <c r="C440" s="3" t="str">
        <f ca="1">IFERROR(__xludf.DUMMYFUNCTION("""COMPUTED_VALUE"""),"火")</f>
        <v>火</v>
      </c>
      <c r="D440" s="3">
        <f ca="1">IFERROR(__xludf.DUMMYFUNCTION("""COMPUTED_VALUE"""),50)</f>
        <v>50</v>
      </c>
      <c r="E440" s="3">
        <f ca="1">IFERROR(__xludf.DUMMYFUNCTION("""COMPUTED_VALUE"""),50)</f>
        <v>50</v>
      </c>
      <c r="F440" s="3" t="str">
        <f ca="1">IFERROR(__xludf.DUMMYFUNCTION("""COMPUTED_VALUE"""),"特訓ショップ")</f>
        <v>特訓ショップ</v>
      </c>
      <c r="G440" s="3"/>
    </row>
    <row r="441" spans="1:7" x14ac:dyDescent="0.25">
      <c r="A441" s="3" t="str">
        <f ca="1">IFERROR(__xludf.DUMMYFUNCTION("""COMPUTED_VALUE"""),"キーパー技")</f>
        <v>キーパー技</v>
      </c>
      <c r="B441" s="3" t="str">
        <f ca="1">IFERROR(__xludf.DUMMYFUNCTION("""COMPUTED_VALUE"""),"エクセレントブレスト")</f>
        <v>エクセレントブレスト</v>
      </c>
      <c r="C441" s="3" t="str">
        <f ca="1">IFERROR(__xludf.DUMMYFUNCTION("""COMPUTED_VALUE"""),"山")</f>
        <v>山</v>
      </c>
      <c r="D441" s="3">
        <f ca="1">IFERROR(__xludf.DUMMYFUNCTION("""COMPUTED_VALUE"""),50)</f>
        <v>50</v>
      </c>
      <c r="E441" s="3">
        <f ca="1">IFERROR(__xludf.DUMMYFUNCTION("""COMPUTED_VALUE"""),50)</f>
        <v>50</v>
      </c>
      <c r="F441" s="3" t="str">
        <f ca="1">IFERROR(__xludf.DUMMYFUNCTION("""COMPUTED_VALUE"""),"秘宝堂")</f>
        <v>秘宝堂</v>
      </c>
      <c r="G441" s="3"/>
    </row>
    <row r="442" spans="1:7" x14ac:dyDescent="0.25">
      <c r="A442" s="3" t="str">
        <f ca="1">IFERROR(__xludf.DUMMYFUNCTION("""COMPUTED_VALUE"""),"キーパー技")</f>
        <v>キーパー技</v>
      </c>
      <c r="B442" s="3" t="str">
        <f ca="1">IFERROR(__xludf.DUMMYFUNCTION("""COMPUTED_VALUE"""),"スウェットスティルネス")</f>
        <v>スウェットスティルネス</v>
      </c>
      <c r="C442" s="3" t="str">
        <f ca="1">IFERROR(__xludf.DUMMYFUNCTION("""COMPUTED_VALUE"""),"火")</f>
        <v>火</v>
      </c>
      <c r="D442" s="3">
        <f ca="1">IFERROR(__xludf.DUMMYFUNCTION("""COMPUTED_VALUE"""),50)</f>
        <v>50</v>
      </c>
      <c r="E442" s="3">
        <f ca="1">IFERROR(__xludf.DUMMYFUNCTION("""COMPUTED_VALUE"""),50)</f>
        <v>50</v>
      </c>
      <c r="F442" s="3" t="str">
        <f ca="1">IFERROR(__xludf.DUMMYFUNCTION("""COMPUTED_VALUE"""),"特訓ショップ")</f>
        <v>特訓ショップ</v>
      </c>
      <c r="G442" s="3"/>
    </row>
    <row r="443" spans="1:7" x14ac:dyDescent="0.25">
      <c r="A443" s="3" t="str">
        <f ca="1">IFERROR(__xludf.DUMMYFUNCTION("""COMPUTED_VALUE"""),"キーパー技")</f>
        <v>キーパー技</v>
      </c>
      <c r="B443" s="3" t="str">
        <f ca="1">IFERROR(__xludf.DUMMYFUNCTION("""COMPUTED_VALUE"""),"きあいのパンチ")</f>
        <v>きあいのパンチ</v>
      </c>
      <c r="C443" s="3" t="str">
        <f ca="1">IFERROR(__xludf.DUMMYFUNCTION("""COMPUTED_VALUE"""),"リアルスキル")</f>
        <v>リアルスキル</v>
      </c>
      <c r="D443" s="3">
        <f ca="1">IFERROR(__xludf.DUMMYFUNCTION("""COMPUTED_VALUE"""),30)</f>
        <v>30</v>
      </c>
      <c r="E443" s="3">
        <f ca="1">IFERROR(__xludf.DUMMYFUNCTION("""COMPUTED_VALUE"""),30)</f>
        <v>30</v>
      </c>
      <c r="F443" s="3" t="str">
        <f ca="1">IFERROR(__xludf.DUMMYFUNCTION("""COMPUTED_VALUE"""),"特訓ショップ")</f>
        <v>特訓ショップ</v>
      </c>
      <c r="G443" s="3"/>
    </row>
    <row r="444" spans="1:7" x14ac:dyDescent="0.25">
      <c r="A444" s="3" t="str">
        <f ca="1">IFERROR(__xludf.DUMMYFUNCTION("""COMPUTED_VALUE"""),"キーパー技")</f>
        <v>キーパー技</v>
      </c>
      <c r="B444" s="3" t="str">
        <f ca="1">IFERROR(__xludf.DUMMYFUNCTION("""COMPUTED_VALUE"""),"ふんばりキャッチ")</f>
        <v>ふんばりキャッチ</v>
      </c>
      <c r="C444" s="3" t="str">
        <f ca="1">IFERROR(__xludf.DUMMYFUNCTION("""COMPUTED_VALUE"""),"リアルスキル")</f>
        <v>リアルスキル</v>
      </c>
      <c r="D444" s="3">
        <f ca="1">IFERROR(__xludf.DUMMYFUNCTION("""COMPUTED_VALUE"""),30)</f>
        <v>30</v>
      </c>
      <c r="E444" s="3">
        <f ca="1">IFERROR(__xludf.DUMMYFUNCTION("""COMPUTED_VALUE"""),30)</f>
        <v>30</v>
      </c>
      <c r="F444" s="3" t="str">
        <f ca="1">IFERROR(__xludf.DUMMYFUNCTION("""COMPUTED_VALUE"""),"特訓ショップ")</f>
        <v>特訓ショップ</v>
      </c>
      <c r="G444" s="3"/>
    </row>
    <row r="445" spans="1:7" x14ac:dyDescent="0.25">
      <c r="A445" s="3" t="str">
        <f ca="1">IFERROR(__xludf.DUMMYFUNCTION("""COMPUTED_VALUE"""),"キーパー技")</f>
        <v>キーパー技</v>
      </c>
      <c r="B445" s="3" t="str">
        <f ca="1">IFERROR(__xludf.DUMMYFUNCTION("""COMPUTED_VALUE"""),"パワーハンドキャッチ")</f>
        <v>パワーハンドキャッチ</v>
      </c>
      <c r="C445" s="3" t="str">
        <f ca="1">IFERROR(__xludf.DUMMYFUNCTION("""COMPUTED_VALUE"""),"リアルスキル")</f>
        <v>リアルスキル</v>
      </c>
      <c r="D445" s="3">
        <f ca="1">IFERROR(__xludf.DUMMYFUNCTION("""COMPUTED_VALUE"""),30)</f>
        <v>30</v>
      </c>
      <c r="E445" s="3">
        <f ca="1">IFERROR(__xludf.DUMMYFUNCTION("""COMPUTED_VALUE"""),30)</f>
        <v>30</v>
      </c>
      <c r="F445" s="3" t="str">
        <f ca="1">IFERROR(__xludf.DUMMYFUNCTION("""COMPUTED_VALUE"""),"特訓ショップ")</f>
        <v>特訓ショップ</v>
      </c>
      <c r="G445" s="3"/>
    </row>
    <row r="446" spans="1:7" x14ac:dyDescent="0.25">
      <c r="A446" s="3" t="str">
        <f ca="1">IFERROR(__xludf.DUMMYFUNCTION("""COMPUTED_VALUE"""),"キーパー技")</f>
        <v>キーパー技</v>
      </c>
      <c r="B446" s="3" t="str">
        <f ca="1">IFERROR(__xludf.DUMMYFUNCTION("""COMPUTED_VALUE"""),"リバースワールド")</f>
        <v>リバースワールド</v>
      </c>
      <c r="C446" s="3" t="str">
        <f ca="1">IFERROR(__xludf.DUMMYFUNCTION("""COMPUTED_VALUE"""),"林")</f>
        <v>林</v>
      </c>
      <c r="D446" s="3"/>
      <c r="E446" s="3"/>
      <c r="F446" s="3"/>
      <c r="G446" s="3" t="str">
        <f ca="1">IFERROR(__xludf.DUMMYFUNCTION("""COMPUTED_VALUE"""),"パンチング")</f>
        <v>パンチング</v>
      </c>
    </row>
    <row r="447" spans="1:7" x14ac:dyDescent="0.25">
      <c r="A447" s="3" t="str">
        <f ca="1">IFERROR(__xludf.DUMMYFUNCTION("""COMPUTED_VALUE"""),"キーパー技")</f>
        <v>キーパー技</v>
      </c>
      <c r="B447" s="3" t="str">
        <f ca="1">IFERROR(__xludf.DUMMYFUNCTION("""COMPUTED_VALUE"""),"大国謳歌")</f>
        <v>大国謳歌</v>
      </c>
      <c r="C447" s="3" t="str">
        <f ca="1">IFERROR(__xludf.DUMMYFUNCTION("""COMPUTED_VALUE"""),"山")</f>
        <v>山</v>
      </c>
      <c r="D447" s="3"/>
      <c r="E447" s="3"/>
      <c r="F447" s="3"/>
      <c r="G447" s="3"/>
    </row>
    <row r="448" spans="1:7" x14ac:dyDescent="0.25">
      <c r="A448" s="3" t="str">
        <f ca="1">IFERROR(__xludf.DUMMYFUNCTION("""COMPUTED_VALUE"""),"キーパー技")</f>
        <v>キーパー技</v>
      </c>
      <c r="B448" s="3" t="str">
        <f ca="1">IFERROR(__xludf.DUMMYFUNCTION("""COMPUTED_VALUE"""),"リジェクション")</f>
        <v>リジェクション</v>
      </c>
      <c r="C448" s="3" t="str">
        <f ca="1">IFERROR(__xludf.DUMMYFUNCTION("""COMPUTED_VALUE"""),"無")</f>
        <v>無</v>
      </c>
      <c r="D448" s="3"/>
      <c r="E448" s="3"/>
      <c r="F448" s="3"/>
      <c r="G448" s="3"/>
    </row>
  </sheetData>
  <phoneticPr fontId="2"/>
  <conditionalFormatting sqref="A1:A1000">
    <cfRule type="cellIs" dxfId="40" priority="13" operator="equal">
      <formula>"シュート技"</formula>
    </cfRule>
    <cfRule type="cellIs" dxfId="39" priority="14" operator="equal">
      <formula>"オフェンス技"</formula>
    </cfRule>
    <cfRule type="cellIs" dxfId="38" priority="15" operator="equal">
      <formula>"ディフェンス技"</formula>
    </cfRule>
    <cfRule type="cellIs" dxfId="37" priority="16" operator="equal">
      <formula>"キーパー技"</formula>
    </cfRule>
  </conditionalFormatting>
  <conditionalFormatting sqref="C1:C1000">
    <cfRule type="cellIs" dxfId="36" priority="1" operator="equal">
      <formula>"風"</formula>
    </cfRule>
    <cfRule type="cellIs" dxfId="35" priority="2" operator="equal">
      <formula>"林"</formula>
    </cfRule>
    <cfRule type="cellIs" dxfId="34" priority="3" operator="equal">
      <formula>"火"</formula>
    </cfRule>
    <cfRule type="cellIs" dxfId="33" priority="4" operator="equal">
      <formula>"山"</formula>
    </cfRule>
    <cfRule type="cellIs" dxfId="32" priority="5" operator="equal">
      <formula>"無"</formula>
    </cfRule>
    <cfRule type="cellIs" dxfId="31" priority="6" operator="equal">
      <formula>"リアルスキル"</formula>
    </cfRule>
  </conditionalFormatting>
  <conditionalFormatting sqref="F1:F1000">
    <cfRule type="cellIs" dxfId="30" priority="7" operator="equal">
      <formula>"クロニクル百貨店"</formula>
    </cfRule>
    <cfRule type="cellIs" dxfId="29" priority="8" operator="equal">
      <formula>"特訓ショップ"</formula>
    </cfRule>
    <cfRule type="cellIs" dxfId="28" priority="9" operator="equal">
      <formula>"秘宝堂"</formula>
    </cfRule>
    <cfRule type="cellIs" dxfId="27" priority="10" operator="equal">
      <formula>"VSストア"</formula>
    </cfRule>
    <cfRule type="cellIs" dxfId="26" priority="11" operator="equal">
      <formula>"スピリット交換所"</formula>
    </cfRule>
    <cfRule type="cellIs" dxfId="25" priority="12" operator="equal">
      <formula>"ボックス"</formula>
    </cfRule>
  </conditionalFormatting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H900"/>
  <sheetViews>
    <sheetView workbookViewId="0">
      <pane ySplit="1" topLeftCell="A2" activePane="bottomLeft" state="frozen"/>
      <selection pane="bottomLeft" activeCell="B2" sqref="B2"/>
    </sheetView>
  </sheetViews>
  <sheetFormatPr defaultColWidth="14.42578125" defaultRowHeight="15.05" customHeight="1" x14ac:dyDescent="0.25"/>
  <cols>
    <col min="1" max="1" width="13.7109375" customWidth="1"/>
    <col min="2" max="2" width="24.140625" customWidth="1"/>
    <col min="5" max="5" width="15.85546875" customWidth="1"/>
    <col min="6" max="6" width="20.7109375" customWidth="1"/>
  </cols>
  <sheetData>
    <row r="1" spans="1:7" ht="12.8" customHeigh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 t="s">
        <v>5</v>
      </c>
      <c r="G1" s="6" t="s">
        <v>6</v>
      </c>
    </row>
    <row r="2" spans="1:7" ht="14.85" x14ac:dyDescent="0.25">
      <c r="A2" s="3" t="s">
        <v>207</v>
      </c>
      <c r="B2" s="3" t="s">
        <v>240</v>
      </c>
      <c r="C2" s="7" t="s">
        <v>14</v>
      </c>
      <c r="D2" s="7">
        <v>100</v>
      </c>
      <c r="E2" s="3">
        <f t="shared" ref="E2:E50" si="0">IF(D2=85, 80, D2)</f>
        <v>100</v>
      </c>
      <c r="F2" s="7" t="s">
        <v>11</v>
      </c>
      <c r="G2" s="3"/>
    </row>
    <row r="3" spans="1:7" ht="14.85" x14ac:dyDescent="0.25">
      <c r="A3" s="3" t="s">
        <v>207</v>
      </c>
      <c r="B3" s="3" t="s">
        <v>220</v>
      </c>
      <c r="C3" s="7" t="s">
        <v>10</v>
      </c>
      <c r="D3" s="7">
        <v>85</v>
      </c>
      <c r="E3" s="3">
        <f t="shared" si="0"/>
        <v>80</v>
      </c>
      <c r="F3" s="7" t="s">
        <v>11</v>
      </c>
      <c r="G3" s="3"/>
    </row>
    <row r="4" spans="1:7" ht="14.85" x14ac:dyDescent="0.25">
      <c r="A4" s="3" t="s">
        <v>207</v>
      </c>
      <c r="B4" s="3" t="s">
        <v>232</v>
      </c>
      <c r="C4" s="7" t="s">
        <v>17</v>
      </c>
      <c r="D4" s="7">
        <v>85</v>
      </c>
      <c r="E4" s="3">
        <f t="shared" si="0"/>
        <v>80</v>
      </c>
      <c r="F4" s="7" t="s">
        <v>60</v>
      </c>
      <c r="G4" s="3"/>
    </row>
    <row r="5" spans="1:7" ht="14.85" x14ac:dyDescent="0.25">
      <c r="A5" s="3" t="s">
        <v>207</v>
      </c>
      <c r="B5" s="3" t="s">
        <v>270</v>
      </c>
      <c r="C5" s="7" t="s">
        <v>158</v>
      </c>
      <c r="D5" s="7">
        <v>85</v>
      </c>
      <c r="E5" s="3">
        <f t="shared" si="0"/>
        <v>80</v>
      </c>
      <c r="F5" s="7" t="s">
        <v>11</v>
      </c>
      <c r="G5" s="3"/>
    </row>
    <row r="6" spans="1:7" ht="14.85" x14ac:dyDescent="0.25">
      <c r="A6" s="3" t="s">
        <v>207</v>
      </c>
      <c r="B6" s="7" t="s">
        <v>281</v>
      </c>
      <c r="C6" s="7" t="s">
        <v>39</v>
      </c>
      <c r="D6" s="7">
        <v>85</v>
      </c>
      <c r="E6" s="3">
        <f t="shared" si="0"/>
        <v>80</v>
      </c>
      <c r="F6" s="7" t="s">
        <v>18</v>
      </c>
      <c r="G6" s="3"/>
    </row>
    <row r="7" spans="1:7" ht="14.85" x14ac:dyDescent="0.25">
      <c r="A7" s="3" t="s">
        <v>207</v>
      </c>
      <c r="B7" s="3" t="s">
        <v>221</v>
      </c>
      <c r="C7" s="7" t="s">
        <v>10</v>
      </c>
      <c r="D7" s="7">
        <v>70</v>
      </c>
      <c r="E7" s="3">
        <f t="shared" si="0"/>
        <v>70</v>
      </c>
      <c r="F7" s="7" t="s">
        <v>24</v>
      </c>
      <c r="G7" s="3"/>
    </row>
    <row r="8" spans="1:7" ht="14.85" x14ac:dyDescent="0.25">
      <c r="A8" s="3" t="s">
        <v>207</v>
      </c>
      <c r="B8" s="3" t="s">
        <v>224</v>
      </c>
      <c r="C8" s="7" t="s">
        <v>10</v>
      </c>
      <c r="D8" s="7">
        <v>70</v>
      </c>
      <c r="E8" s="3">
        <f t="shared" si="0"/>
        <v>70</v>
      </c>
      <c r="F8" s="7" t="s">
        <v>24</v>
      </c>
      <c r="G8" s="3"/>
    </row>
    <row r="9" spans="1:7" ht="14.85" x14ac:dyDescent="0.25">
      <c r="A9" s="3" t="s">
        <v>207</v>
      </c>
      <c r="B9" s="3" t="s">
        <v>227</v>
      </c>
      <c r="C9" s="7" t="s">
        <v>14</v>
      </c>
      <c r="D9" s="7">
        <v>70</v>
      </c>
      <c r="E9" s="3">
        <f t="shared" si="0"/>
        <v>70</v>
      </c>
      <c r="F9" s="7" t="s">
        <v>11</v>
      </c>
      <c r="G9" s="3"/>
    </row>
    <row r="10" spans="1:7" ht="14.85" x14ac:dyDescent="0.25">
      <c r="A10" s="3" t="s">
        <v>207</v>
      </c>
      <c r="B10" s="3" t="s">
        <v>228</v>
      </c>
      <c r="C10" s="7" t="s">
        <v>10</v>
      </c>
      <c r="D10" s="7">
        <v>70</v>
      </c>
      <c r="E10" s="3">
        <f t="shared" si="0"/>
        <v>70</v>
      </c>
      <c r="F10" s="7" t="s">
        <v>18</v>
      </c>
      <c r="G10" s="3"/>
    </row>
    <row r="11" spans="1:7" ht="14.85" x14ac:dyDescent="0.25">
      <c r="A11" s="3" t="s">
        <v>207</v>
      </c>
      <c r="B11" s="3" t="s">
        <v>229</v>
      </c>
      <c r="C11" s="7" t="s">
        <v>14</v>
      </c>
      <c r="D11" s="7">
        <v>70</v>
      </c>
      <c r="E11" s="3">
        <f t="shared" si="0"/>
        <v>70</v>
      </c>
      <c r="F11" s="7" t="s">
        <v>18</v>
      </c>
      <c r="G11" s="3"/>
    </row>
    <row r="12" spans="1:7" ht="14.85" x14ac:dyDescent="0.25">
      <c r="A12" s="3" t="s">
        <v>207</v>
      </c>
      <c r="B12" s="3" t="s">
        <v>230</v>
      </c>
      <c r="C12" s="7" t="s">
        <v>17</v>
      </c>
      <c r="D12" s="7">
        <v>70</v>
      </c>
      <c r="E12" s="3">
        <f t="shared" si="0"/>
        <v>70</v>
      </c>
      <c r="F12" s="7" t="s">
        <v>11</v>
      </c>
      <c r="G12" s="3"/>
    </row>
    <row r="13" spans="1:7" ht="14.85" x14ac:dyDescent="0.25">
      <c r="A13" s="3" t="s">
        <v>207</v>
      </c>
      <c r="B13" s="3" t="s">
        <v>235</v>
      </c>
      <c r="C13" s="7" t="s">
        <v>14</v>
      </c>
      <c r="D13" s="7">
        <v>70</v>
      </c>
      <c r="E13" s="3">
        <f t="shared" si="0"/>
        <v>70</v>
      </c>
      <c r="F13" s="7" t="s">
        <v>18</v>
      </c>
      <c r="G13" s="3"/>
    </row>
    <row r="14" spans="1:7" ht="14.85" x14ac:dyDescent="0.25">
      <c r="A14" s="3" t="s">
        <v>207</v>
      </c>
      <c r="B14" s="3" t="s">
        <v>236</v>
      </c>
      <c r="C14" s="7" t="s">
        <v>10</v>
      </c>
      <c r="D14" s="7">
        <v>70</v>
      </c>
      <c r="E14" s="3">
        <f t="shared" si="0"/>
        <v>70</v>
      </c>
      <c r="F14" s="7" t="s">
        <v>32</v>
      </c>
      <c r="G14" s="3"/>
    </row>
    <row r="15" spans="1:7" ht="14.85" x14ac:dyDescent="0.25">
      <c r="A15" s="3" t="s">
        <v>207</v>
      </c>
      <c r="B15" s="3" t="s">
        <v>239</v>
      </c>
      <c r="C15" s="7" t="s">
        <v>10</v>
      </c>
      <c r="D15" s="7">
        <v>70</v>
      </c>
      <c r="E15" s="3">
        <f t="shared" si="0"/>
        <v>70</v>
      </c>
      <c r="F15" s="7" t="s">
        <v>24</v>
      </c>
      <c r="G15" s="3"/>
    </row>
    <row r="16" spans="1:7" ht="14.85" x14ac:dyDescent="0.25">
      <c r="A16" s="3" t="s">
        <v>207</v>
      </c>
      <c r="B16" s="3" t="s">
        <v>242</v>
      </c>
      <c r="C16" s="7" t="s">
        <v>17</v>
      </c>
      <c r="D16" s="7">
        <v>70</v>
      </c>
      <c r="E16" s="3">
        <f t="shared" si="0"/>
        <v>70</v>
      </c>
      <c r="F16" s="7" t="s">
        <v>18</v>
      </c>
      <c r="G16" s="3"/>
    </row>
    <row r="17" spans="1:7" ht="14.85" x14ac:dyDescent="0.25">
      <c r="A17" s="3" t="s">
        <v>207</v>
      </c>
      <c r="B17" s="3" t="s">
        <v>243</v>
      </c>
      <c r="C17" s="7" t="s">
        <v>10</v>
      </c>
      <c r="D17" s="7">
        <v>70</v>
      </c>
      <c r="E17" s="3">
        <f t="shared" si="0"/>
        <v>70</v>
      </c>
      <c r="F17" s="7" t="s">
        <v>11</v>
      </c>
      <c r="G17" s="3"/>
    </row>
    <row r="18" spans="1:7" ht="14.85" x14ac:dyDescent="0.25">
      <c r="A18" s="3" t="s">
        <v>207</v>
      </c>
      <c r="B18" s="3" t="s">
        <v>244</v>
      </c>
      <c r="C18" s="7" t="s">
        <v>17</v>
      </c>
      <c r="D18" s="7">
        <v>70</v>
      </c>
      <c r="E18" s="3">
        <f t="shared" si="0"/>
        <v>70</v>
      </c>
      <c r="F18" s="7" t="s">
        <v>11</v>
      </c>
      <c r="G18" s="3"/>
    </row>
    <row r="19" spans="1:7" ht="14.85" x14ac:dyDescent="0.25">
      <c r="A19" s="3" t="s">
        <v>207</v>
      </c>
      <c r="B19" s="3" t="s">
        <v>254</v>
      </c>
      <c r="C19" s="7" t="s">
        <v>14</v>
      </c>
      <c r="D19" s="7">
        <v>70</v>
      </c>
      <c r="E19" s="3">
        <f t="shared" si="0"/>
        <v>70</v>
      </c>
      <c r="F19" s="7" t="s">
        <v>24</v>
      </c>
      <c r="G19" s="3"/>
    </row>
    <row r="20" spans="1:7" ht="14.85" x14ac:dyDescent="0.25">
      <c r="A20" s="3" t="s">
        <v>207</v>
      </c>
      <c r="B20" s="3" t="s">
        <v>255</v>
      </c>
      <c r="C20" s="7" t="s">
        <v>14</v>
      </c>
      <c r="D20" s="7">
        <v>70</v>
      </c>
      <c r="E20" s="3">
        <f t="shared" si="0"/>
        <v>70</v>
      </c>
      <c r="F20" s="7" t="s">
        <v>11</v>
      </c>
      <c r="G20" s="3"/>
    </row>
    <row r="21" spans="1:7" ht="14.85" x14ac:dyDescent="0.25">
      <c r="A21" s="3" t="s">
        <v>207</v>
      </c>
      <c r="B21" s="3" t="s">
        <v>257</v>
      </c>
      <c r="C21" s="7" t="s">
        <v>39</v>
      </c>
      <c r="D21" s="7">
        <v>70</v>
      </c>
      <c r="E21" s="3">
        <f t="shared" si="0"/>
        <v>70</v>
      </c>
      <c r="F21" s="7" t="s">
        <v>11</v>
      </c>
      <c r="G21" s="3"/>
    </row>
    <row r="22" spans="1:7" ht="14.85" x14ac:dyDescent="0.25">
      <c r="A22" s="3" t="s">
        <v>207</v>
      </c>
      <c r="B22" s="3" t="s">
        <v>258</v>
      </c>
      <c r="C22" s="7" t="s">
        <v>17</v>
      </c>
      <c r="D22" s="7">
        <v>70</v>
      </c>
      <c r="E22" s="3">
        <f t="shared" si="0"/>
        <v>70</v>
      </c>
      <c r="F22" s="7" t="s">
        <v>24</v>
      </c>
      <c r="G22" s="3"/>
    </row>
    <row r="23" spans="1:7" ht="14.85" x14ac:dyDescent="0.25">
      <c r="A23" s="3" t="s">
        <v>207</v>
      </c>
      <c r="B23" s="3" t="s">
        <v>260</v>
      </c>
      <c r="C23" s="7" t="s">
        <v>14</v>
      </c>
      <c r="D23" s="7">
        <v>70</v>
      </c>
      <c r="E23" s="3">
        <f t="shared" si="0"/>
        <v>70</v>
      </c>
      <c r="F23" s="7" t="s">
        <v>32</v>
      </c>
      <c r="G23" s="3"/>
    </row>
    <row r="24" spans="1:7" ht="14.85" x14ac:dyDescent="0.25">
      <c r="A24" s="3" t="s">
        <v>207</v>
      </c>
      <c r="B24" s="3" t="s">
        <v>262</v>
      </c>
      <c r="C24" s="7" t="s">
        <v>10</v>
      </c>
      <c r="D24" s="7">
        <v>70</v>
      </c>
      <c r="E24" s="3">
        <f t="shared" si="0"/>
        <v>70</v>
      </c>
      <c r="F24" s="7" t="s">
        <v>18</v>
      </c>
      <c r="G24" s="3"/>
    </row>
    <row r="25" spans="1:7" ht="14.85" x14ac:dyDescent="0.25">
      <c r="A25" s="3" t="s">
        <v>207</v>
      </c>
      <c r="B25" s="3" t="s">
        <v>269</v>
      </c>
      <c r="C25" s="7" t="s">
        <v>10</v>
      </c>
      <c r="D25" s="7">
        <v>70</v>
      </c>
      <c r="E25" s="3">
        <f t="shared" si="0"/>
        <v>70</v>
      </c>
      <c r="F25" s="7" t="s">
        <v>32</v>
      </c>
      <c r="G25" s="3"/>
    </row>
    <row r="26" spans="1:7" ht="14.85" x14ac:dyDescent="0.25">
      <c r="A26" s="3" t="s">
        <v>207</v>
      </c>
      <c r="B26" s="7" t="s">
        <v>280</v>
      </c>
      <c r="C26" s="7" t="s">
        <v>14</v>
      </c>
      <c r="D26" s="7">
        <v>70</v>
      </c>
      <c r="E26" s="3">
        <f t="shared" si="0"/>
        <v>70</v>
      </c>
      <c r="F26" s="7" t="s">
        <v>18</v>
      </c>
      <c r="G26" s="3"/>
    </row>
    <row r="27" spans="1:7" ht="14.85" x14ac:dyDescent="0.25">
      <c r="A27" s="3" t="s">
        <v>207</v>
      </c>
      <c r="B27" s="3" t="s">
        <v>209</v>
      </c>
      <c r="C27" s="7" t="s">
        <v>10</v>
      </c>
      <c r="D27" s="7">
        <v>60</v>
      </c>
      <c r="E27" s="3">
        <f t="shared" si="0"/>
        <v>60</v>
      </c>
      <c r="F27" s="7" t="s">
        <v>11</v>
      </c>
      <c r="G27" s="3"/>
    </row>
    <row r="28" spans="1:7" ht="14.85" x14ac:dyDescent="0.25">
      <c r="A28" s="3" t="s">
        <v>207</v>
      </c>
      <c r="B28" s="3" t="s">
        <v>211</v>
      </c>
      <c r="C28" s="7" t="s">
        <v>17</v>
      </c>
      <c r="D28" s="7">
        <v>60</v>
      </c>
      <c r="E28" s="3">
        <f t="shared" si="0"/>
        <v>60</v>
      </c>
      <c r="F28" s="7" t="s">
        <v>11</v>
      </c>
      <c r="G28" s="3"/>
    </row>
    <row r="29" spans="1:7" ht="14.85" x14ac:dyDescent="0.25">
      <c r="A29" s="3" t="s">
        <v>207</v>
      </c>
      <c r="B29" s="3" t="s">
        <v>213</v>
      </c>
      <c r="C29" s="7" t="s">
        <v>14</v>
      </c>
      <c r="D29" s="7">
        <v>60</v>
      </c>
      <c r="E29" s="3">
        <f t="shared" si="0"/>
        <v>60</v>
      </c>
      <c r="F29" s="7" t="s">
        <v>11</v>
      </c>
      <c r="G29" s="3"/>
    </row>
    <row r="30" spans="1:7" ht="14.85" x14ac:dyDescent="0.25">
      <c r="A30" s="3" t="s">
        <v>207</v>
      </c>
      <c r="B30" s="3" t="s">
        <v>217</v>
      </c>
      <c r="C30" s="7" t="s">
        <v>17</v>
      </c>
      <c r="D30" s="7">
        <v>60</v>
      </c>
      <c r="E30" s="3">
        <f t="shared" si="0"/>
        <v>60</v>
      </c>
      <c r="F30" s="7" t="s">
        <v>18</v>
      </c>
      <c r="G30" s="3"/>
    </row>
    <row r="31" spans="1:7" ht="14.85" x14ac:dyDescent="0.25">
      <c r="A31" s="3" t="s">
        <v>207</v>
      </c>
      <c r="B31" s="3" t="s">
        <v>222</v>
      </c>
      <c r="C31" s="7" t="s">
        <v>17</v>
      </c>
      <c r="D31" s="7">
        <v>60</v>
      </c>
      <c r="E31" s="3">
        <f t="shared" si="0"/>
        <v>60</v>
      </c>
      <c r="F31" s="7" t="s">
        <v>18</v>
      </c>
      <c r="G31" s="3"/>
    </row>
    <row r="32" spans="1:7" ht="14.85" x14ac:dyDescent="0.25">
      <c r="A32" s="3" t="s">
        <v>207</v>
      </c>
      <c r="B32" s="3" t="s">
        <v>223</v>
      </c>
      <c r="C32" s="7" t="s">
        <v>39</v>
      </c>
      <c r="D32" s="7">
        <v>60</v>
      </c>
      <c r="E32" s="3">
        <f t="shared" si="0"/>
        <v>60</v>
      </c>
      <c r="F32" s="7" t="s">
        <v>24</v>
      </c>
      <c r="G32" s="3"/>
    </row>
    <row r="33" spans="1:7" ht="14.85" x14ac:dyDescent="0.25">
      <c r="A33" s="3" t="s">
        <v>207</v>
      </c>
      <c r="B33" s="3" t="s">
        <v>225</v>
      </c>
      <c r="C33" s="7" t="s">
        <v>14</v>
      </c>
      <c r="D33" s="7">
        <v>60</v>
      </c>
      <c r="E33" s="3">
        <f t="shared" si="0"/>
        <v>60</v>
      </c>
      <c r="F33" s="7" t="s">
        <v>18</v>
      </c>
      <c r="G33" s="3"/>
    </row>
    <row r="34" spans="1:7" ht="14.85" x14ac:dyDescent="0.25">
      <c r="A34" s="3" t="s">
        <v>207</v>
      </c>
      <c r="B34" s="3" t="s">
        <v>226</v>
      </c>
      <c r="C34" s="7" t="s">
        <v>39</v>
      </c>
      <c r="D34" s="7">
        <v>60</v>
      </c>
      <c r="E34" s="3">
        <f t="shared" si="0"/>
        <v>60</v>
      </c>
      <c r="F34" s="7" t="s">
        <v>32</v>
      </c>
      <c r="G34" s="3"/>
    </row>
    <row r="35" spans="1:7" ht="14.85" x14ac:dyDescent="0.25">
      <c r="A35" s="3" t="s">
        <v>207</v>
      </c>
      <c r="B35" s="3" t="s">
        <v>231</v>
      </c>
      <c r="C35" s="7" t="s">
        <v>10</v>
      </c>
      <c r="D35" s="7">
        <v>60</v>
      </c>
      <c r="E35" s="3">
        <f t="shared" si="0"/>
        <v>60</v>
      </c>
      <c r="F35" s="7" t="s">
        <v>24</v>
      </c>
      <c r="G35" s="3"/>
    </row>
    <row r="36" spans="1:7" ht="14.85" x14ac:dyDescent="0.25">
      <c r="A36" s="3" t="s">
        <v>207</v>
      </c>
      <c r="B36" s="3" t="s">
        <v>234</v>
      </c>
      <c r="C36" s="7" t="s">
        <v>14</v>
      </c>
      <c r="D36" s="7">
        <v>60</v>
      </c>
      <c r="E36" s="3">
        <f t="shared" si="0"/>
        <v>60</v>
      </c>
      <c r="F36" s="7" t="s">
        <v>24</v>
      </c>
      <c r="G36" s="3"/>
    </row>
    <row r="37" spans="1:7" ht="14.85" x14ac:dyDescent="0.25">
      <c r="A37" s="3" t="s">
        <v>207</v>
      </c>
      <c r="B37" s="3" t="s">
        <v>238</v>
      </c>
      <c r="C37" s="7" t="s">
        <v>39</v>
      </c>
      <c r="D37" s="7">
        <v>60</v>
      </c>
      <c r="E37" s="3">
        <f t="shared" si="0"/>
        <v>60</v>
      </c>
      <c r="F37" s="7" t="s">
        <v>18</v>
      </c>
      <c r="G37" s="3"/>
    </row>
    <row r="38" spans="1:7" ht="14.85" x14ac:dyDescent="0.25">
      <c r="A38" s="3" t="s">
        <v>207</v>
      </c>
      <c r="B38" s="3" t="s">
        <v>248</v>
      </c>
      <c r="C38" s="7" t="s">
        <v>10</v>
      </c>
      <c r="D38" s="7">
        <v>60</v>
      </c>
      <c r="E38" s="3">
        <f t="shared" si="0"/>
        <v>60</v>
      </c>
      <c r="F38" s="7" t="s">
        <v>11</v>
      </c>
      <c r="G38" s="3"/>
    </row>
    <row r="39" spans="1:7" ht="14.85" x14ac:dyDescent="0.25">
      <c r="A39" s="3" t="s">
        <v>207</v>
      </c>
      <c r="B39" s="3" t="s">
        <v>249</v>
      </c>
      <c r="C39" s="7" t="s">
        <v>17</v>
      </c>
      <c r="D39" s="7">
        <v>60</v>
      </c>
      <c r="E39" s="3">
        <f t="shared" si="0"/>
        <v>60</v>
      </c>
      <c r="F39" s="7" t="s">
        <v>11</v>
      </c>
      <c r="G39" s="3"/>
    </row>
    <row r="40" spans="1:7" ht="14.85" x14ac:dyDescent="0.25">
      <c r="A40" s="3" t="s">
        <v>207</v>
      </c>
      <c r="B40" s="3" t="s">
        <v>250</v>
      </c>
      <c r="C40" s="7" t="s">
        <v>10</v>
      </c>
      <c r="D40" s="7">
        <v>60</v>
      </c>
      <c r="E40" s="3">
        <f t="shared" si="0"/>
        <v>60</v>
      </c>
      <c r="F40" s="7" t="s">
        <v>11</v>
      </c>
      <c r="G40" s="3"/>
    </row>
    <row r="41" spans="1:7" ht="14.85" x14ac:dyDescent="0.25">
      <c r="A41" s="3" t="s">
        <v>207</v>
      </c>
      <c r="B41" s="3" t="s">
        <v>251</v>
      </c>
      <c r="C41" s="7" t="s">
        <v>10</v>
      </c>
      <c r="D41" s="7">
        <v>60</v>
      </c>
      <c r="E41" s="3">
        <f t="shared" si="0"/>
        <v>60</v>
      </c>
      <c r="F41" s="7" t="s">
        <v>18</v>
      </c>
      <c r="G41" s="3"/>
    </row>
    <row r="42" spans="1:7" ht="14.85" x14ac:dyDescent="0.25">
      <c r="A42" s="3" t="s">
        <v>207</v>
      </c>
      <c r="B42" s="3" t="s">
        <v>253</v>
      </c>
      <c r="C42" s="7" t="s">
        <v>39</v>
      </c>
      <c r="D42" s="7">
        <v>60</v>
      </c>
      <c r="E42" s="3">
        <f t="shared" si="0"/>
        <v>60</v>
      </c>
      <c r="F42" s="7" t="s">
        <v>24</v>
      </c>
      <c r="G42" s="3"/>
    </row>
    <row r="43" spans="1:7" ht="14.85" x14ac:dyDescent="0.25">
      <c r="A43" s="3" t="s">
        <v>207</v>
      </c>
      <c r="B43" s="3" t="s">
        <v>256</v>
      </c>
      <c r="C43" s="7" t="s">
        <v>39</v>
      </c>
      <c r="D43" s="7">
        <v>60</v>
      </c>
      <c r="E43" s="3">
        <f t="shared" si="0"/>
        <v>60</v>
      </c>
      <c r="F43" s="7" t="s">
        <v>32</v>
      </c>
      <c r="G43" s="3"/>
    </row>
    <row r="44" spans="1:7" ht="14.85" x14ac:dyDescent="0.25">
      <c r="A44" s="3" t="s">
        <v>207</v>
      </c>
      <c r="B44" s="3" t="s">
        <v>259</v>
      </c>
      <c r="C44" s="7" t="s">
        <v>39</v>
      </c>
      <c r="D44" s="7">
        <v>60</v>
      </c>
      <c r="E44" s="3">
        <f t="shared" si="0"/>
        <v>60</v>
      </c>
      <c r="F44" s="7" t="s">
        <v>11</v>
      </c>
      <c r="G44" s="3"/>
    </row>
    <row r="45" spans="1:7" ht="14.85" x14ac:dyDescent="0.25">
      <c r="A45" s="3" t="s">
        <v>207</v>
      </c>
      <c r="B45" s="3" t="s">
        <v>261</v>
      </c>
      <c r="C45" s="7" t="s">
        <v>10</v>
      </c>
      <c r="D45" s="7">
        <v>60</v>
      </c>
      <c r="E45" s="3">
        <f t="shared" si="0"/>
        <v>60</v>
      </c>
      <c r="F45" s="7" t="s">
        <v>24</v>
      </c>
      <c r="G45" s="3"/>
    </row>
    <row r="46" spans="1:7" ht="14.85" x14ac:dyDescent="0.25">
      <c r="A46" s="3" t="s">
        <v>207</v>
      </c>
      <c r="B46" s="3" t="s">
        <v>263</v>
      </c>
      <c r="C46" s="7" t="s">
        <v>17</v>
      </c>
      <c r="D46" s="7">
        <v>60</v>
      </c>
      <c r="E46" s="3">
        <f t="shared" si="0"/>
        <v>60</v>
      </c>
      <c r="F46" s="7" t="s">
        <v>24</v>
      </c>
      <c r="G46" s="3"/>
    </row>
    <row r="47" spans="1:7" ht="14.85" x14ac:dyDescent="0.25">
      <c r="A47" s="3" t="s">
        <v>207</v>
      </c>
      <c r="B47" s="3" t="s">
        <v>264</v>
      </c>
      <c r="C47" s="7" t="s">
        <v>14</v>
      </c>
      <c r="D47" s="7">
        <v>60</v>
      </c>
      <c r="E47" s="3">
        <f t="shared" si="0"/>
        <v>60</v>
      </c>
      <c r="F47" s="7" t="s">
        <v>24</v>
      </c>
      <c r="G47" s="3"/>
    </row>
    <row r="48" spans="1:7" ht="14.85" x14ac:dyDescent="0.25">
      <c r="A48" s="3" t="s">
        <v>207</v>
      </c>
      <c r="B48" s="3" t="s">
        <v>265</v>
      </c>
      <c r="C48" s="7" t="s">
        <v>14</v>
      </c>
      <c r="D48" s="7">
        <v>60</v>
      </c>
      <c r="E48" s="3">
        <f t="shared" si="0"/>
        <v>60</v>
      </c>
      <c r="F48" s="7" t="s">
        <v>18</v>
      </c>
      <c r="G48" s="3"/>
    </row>
    <row r="49" spans="1:7" ht="14.85" x14ac:dyDescent="0.25">
      <c r="A49" s="3" t="s">
        <v>207</v>
      </c>
      <c r="B49" s="3" t="s">
        <v>266</v>
      </c>
      <c r="C49" s="7" t="s">
        <v>14</v>
      </c>
      <c r="D49" s="7">
        <v>60</v>
      </c>
      <c r="E49" s="3">
        <f t="shared" si="0"/>
        <v>60</v>
      </c>
      <c r="F49" s="7" t="s">
        <v>24</v>
      </c>
      <c r="G49" s="3"/>
    </row>
    <row r="50" spans="1:7" ht="14.85" x14ac:dyDescent="0.25">
      <c r="A50" s="3" t="s">
        <v>207</v>
      </c>
      <c r="B50" s="7" t="s">
        <v>279</v>
      </c>
      <c r="C50" s="7" t="s">
        <v>10</v>
      </c>
      <c r="D50" s="7">
        <v>60</v>
      </c>
      <c r="E50" s="3">
        <f t="shared" si="0"/>
        <v>60</v>
      </c>
      <c r="F50" s="7" t="s">
        <v>18</v>
      </c>
      <c r="G50" s="3"/>
    </row>
    <row r="51" spans="1:7" ht="14.85" x14ac:dyDescent="0.25">
      <c r="A51" s="7" t="s">
        <v>207</v>
      </c>
      <c r="B51" s="7" t="s">
        <v>347</v>
      </c>
      <c r="C51" s="7" t="s">
        <v>14</v>
      </c>
      <c r="D51" s="7">
        <v>60</v>
      </c>
      <c r="E51" s="3">
        <f>IF(D51=85, 80, D51)</f>
        <v>60</v>
      </c>
      <c r="F51" s="7" t="s">
        <v>11</v>
      </c>
      <c r="G51" s="3"/>
    </row>
    <row r="52" spans="1:7" ht="14.85" x14ac:dyDescent="0.25">
      <c r="A52" s="3" t="s">
        <v>207</v>
      </c>
      <c r="B52" s="3" t="s">
        <v>208</v>
      </c>
      <c r="C52" s="7" t="s">
        <v>17</v>
      </c>
      <c r="D52" s="7">
        <v>50</v>
      </c>
      <c r="E52" s="3">
        <f t="shared" ref="E52:E77" si="1">IF(D52=85, 80, D52)</f>
        <v>50</v>
      </c>
      <c r="F52" s="7" t="s">
        <v>24</v>
      </c>
      <c r="G52" s="3"/>
    </row>
    <row r="53" spans="1:7" ht="14.85" x14ac:dyDescent="0.25">
      <c r="A53" s="3" t="s">
        <v>207</v>
      </c>
      <c r="B53" s="3" t="s">
        <v>210</v>
      </c>
      <c r="C53" s="7" t="s">
        <v>10</v>
      </c>
      <c r="D53" s="7">
        <v>50</v>
      </c>
      <c r="E53" s="3">
        <f t="shared" si="1"/>
        <v>50</v>
      </c>
      <c r="F53" s="7" t="s">
        <v>24</v>
      </c>
      <c r="G53" s="3"/>
    </row>
    <row r="54" spans="1:7" ht="14.85" x14ac:dyDescent="0.25">
      <c r="A54" s="3" t="s">
        <v>207</v>
      </c>
      <c r="B54" s="3" t="s">
        <v>212</v>
      </c>
      <c r="C54" s="7" t="s">
        <v>39</v>
      </c>
      <c r="D54" s="7">
        <v>50</v>
      </c>
      <c r="E54" s="3">
        <f t="shared" si="1"/>
        <v>50</v>
      </c>
      <c r="F54" s="7" t="s">
        <v>24</v>
      </c>
      <c r="G54" s="3"/>
    </row>
    <row r="55" spans="1:7" ht="14.85" x14ac:dyDescent="0.25">
      <c r="A55" s="3" t="s">
        <v>207</v>
      </c>
      <c r="B55" s="3" t="s">
        <v>214</v>
      </c>
      <c r="C55" s="7" t="s">
        <v>10</v>
      </c>
      <c r="D55" s="7">
        <v>50</v>
      </c>
      <c r="E55" s="3">
        <f t="shared" si="1"/>
        <v>50</v>
      </c>
      <c r="F55" s="7" t="s">
        <v>18</v>
      </c>
      <c r="G55" s="3"/>
    </row>
    <row r="56" spans="1:7" ht="14.85" x14ac:dyDescent="0.25">
      <c r="A56" s="3" t="s">
        <v>207</v>
      </c>
      <c r="B56" s="3" t="s">
        <v>215</v>
      </c>
      <c r="C56" s="7" t="s">
        <v>39</v>
      </c>
      <c r="D56" s="7">
        <v>50</v>
      </c>
      <c r="E56" s="3">
        <f t="shared" si="1"/>
        <v>50</v>
      </c>
      <c r="F56" s="7" t="s">
        <v>18</v>
      </c>
      <c r="G56" s="3"/>
    </row>
    <row r="57" spans="1:7" ht="14.85" x14ac:dyDescent="0.25">
      <c r="A57" s="3" t="s">
        <v>207</v>
      </c>
      <c r="B57" s="3" t="s">
        <v>216</v>
      </c>
      <c r="C57" s="7" t="s">
        <v>39</v>
      </c>
      <c r="D57" s="7">
        <v>50</v>
      </c>
      <c r="E57" s="3">
        <f t="shared" si="1"/>
        <v>50</v>
      </c>
      <c r="F57" s="7" t="s">
        <v>11</v>
      </c>
      <c r="G57" s="3"/>
    </row>
    <row r="58" spans="1:7" ht="14.85" x14ac:dyDescent="0.25">
      <c r="A58" s="3" t="s">
        <v>207</v>
      </c>
      <c r="B58" s="3" t="s">
        <v>218</v>
      </c>
      <c r="C58" s="7" t="s">
        <v>39</v>
      </c>
      <c r="D58" s="7">
        <v>50</v>
      </c>
      <c r="E58" s="3">
        <f t="shared" si="1"/>
        <v>50</v>
      </c>
      <c r="F58" s="7" t="s">
        <v>18</v>
      </c>
      <c r="G58" s="3"/>
    </row>
    <row r="59" spans="1:7" ht="14.85" x14ac:dyDescent="0.25">
      <c r="A59" s="3" t="s">
        <v>207</v>
      </c>
      <c r="B59" s="3" t="s">
        <v>219</v>
      </c>
      <c r="C59" s="7" t="s">
        <v>39</v>
      </c>
      <c r="D59" s="7">
        <v>50</v>
      </c>
      <c r="E59" s="3">
        <f t="shared" si="1"/>
        <v>50</v>
      </c>
      <c r="F59" s="7" t="s">
        <v>24</v>
      </c>
      <c r="G59" s="3"/>
    </row>
    <row r="60" spans="1:7" ht="14.85" x14ac:dyDescent="0.25">
      <c r="A60" s="3" t="s">
        <v>207</v>
      </c>
      <c r="B60" s="3" t="s">
        <v>233</v>
      </c>
      <c r="C60" s="7" t="s">
        <v>39</v>
      </c>
      <c r="D60" s="7">
        <v>50</v>
      </c>
      <c r="E60" s="3">
        <f t="shared" si="1"/>
        <v>50</v>
      </c>
      <c r="F60" s="7" t="s">
        <v>24</v>
      </c>
      <c r="G60" s="3"/>
    </row>
    <row r="61" spans="1:7" ht="14.85" x14ac:dyDescent="0.25">
      <c r="A61" s="3" t="s">
        <v>207</v>
      </c>
      <c r="B61" s="3" t="s">
        <v>237</v>
      </c>
      <c r="C61" s="7" t="s">
        <v>17</v>
      </c>
      <c r="D61" s="7">
        <v>50</v>
      </c>
      <c r="E61" s="3">
        <f t="shared" si="1"/>
        <v>50</v>
      </c>
      <c r="F61" s="7" t="s">
        <v>24</v>
      </c>
      <c r="G61" s="3"/>
    </row>
    <row r="62" spans="1:7" ht="14.85" x14ac:dyDescent="0.25">
      <c r="A62" s="3" t="s">
        <v>207</v>
      </c>
      <c r="B62" s="3" t="s">
        <v>241</v>
      </c>
      <c r="C62" s="7" t="s">
        <v>14</v>
      </c>
      <c r="D62" s="7">
        <v>50</v>
      </c>
      <c r="E62" s="3">
        <f t="shared" si="1"/>
        <v>50</v>
      </c>
      <c r="F62" s="7" t="s">
        <v>24</v>
      </c>
      <c r="G62" s="3"/>
    </row>
    <row r="63" spans="1:7" ht="14.85" x14ac:dyDescent="0.25">
      <c r="A63" s="3" t="s">
        <v>207</v>
      </c>
      <c r="B63" s="3" t="s">
        <v>245</v>
      </c>
      <c r="C63" s="7" t="s">
        <v>10</v>
      </c>
      <c r="D63" s="7">
        <v>50</v>
      </c>
      <c r="E63" s="3">
        <f t="shared" si="1"/>
        <v>50</v>
      </c>
      <c r="F63" s="7" t="s">
        <v>32</v>
      </c>
      <c r="G63" s="3"/>
    </row>
    <row r="64" spans="1:7" ht="14.85" x14ac:dyDescent="0.25">
      <c r="A64" s="3" t="s">
        <v>207</v>
      </c>
      <c r="B64" s="3" t="s">
        <v>246</v>
      </c>
      <c r="C64" s="7" t="s">
        <v>17</v>
      </c>
      <c r="D64" s="7">
        <v>50</v>
      </c>
      <c r="E64" s="3">
        <f t="shared" si="1"/>
        <v>50</v>
      </c>
      <c r="F64" s="7" t="s">
        <v>24</v>
      </c>
      <c r="G64" s="3"/>
    </row>
    <row r="65" spans="1:8" ht="14.85" x14ac:dyDescent="0.25">
      <c r="A65" s="3" t="s">
        <v>207</v>
      </c>
      <c r="B65" s="3" t="s">
        <v>247</v>
      </c>
      <c r="C65" s="7" t="s">
        <v>17</v>
      </c>
      <c r="D65" s="7">
        <v>50</v>
      </c>
      <c r="E65" s="3">
        <f t="shared" si="1"/>
        <v>50</v>
      </c>
      <c r="F65" s="7" t="s">
        <v>11</v>
      </c>
      <c r="G65" s="3"/>
    </row>
    <row r="66" spans="1:8" ht="14.85" x14ac:dyDescent="0.25">
      <c r="A66" s="3" t="s">
        <v>207</v>
      </c>
      <c r="B66" s="3" t="s">
        <v>252</v>
      </c>
      <c r="C66" s="7" t="s">
        <v>39</v>
      </c>
      <c r="D66" s="7">
        <v>50</v>
      </c>
      <c r="E66" s="3">
        <f t="shared" si="1"/>
        <v>50</v>
      </c>
      <c r="F66" s="7" t="s">
        <v>24</v>
      </c>
      <c r="G66" s="3"/>
    </row>
    <row r="67" spans="1:8" ht="14.85" x14ac:dyDescent="0.25">
      <c r="A67" s="3" t="s">
        <v>207</v>
      </c>
      <c r="B67" s="7" t="s">
        <v>277</v>
      </c>
      <c r="C67" s="7" t="s">
        <v>10</v>
      </c>
      <c r="D67" s="7">
        <v>50</v>
      </c>
      <c r="E67" s="3">
        <f t="shared" si="1"/>
        <v>50</v>
      </c>
      <c r="F67" s="7" t="s">
        <v>18</v>
      </c>
      <c r="G67" s="3"/>
    </row>
    <row r="68" spans="1:8" ht="14.85" x14ac:dyDescent="0.25">
      <c r="A68" s="3" t="s">
        <v>207</v>
      </c>
      <c r="B68" s="7" t="s">
        <v>278</v>
      </c>
      <c r="C68" s="7" t="s">
        <v>14</v>
      </c>
      <c r="D68" s="7">
        <v>50</v>
      </c>
      <c r="E68" s="3">
        <f t="shared" si="1"/>
        <v>50</v>
      </c>
      <c r="F68" s="7" t="s">
        <v>18</v>
      </c>
      <c r="G68" s="3"/>
    </row>
    <row r="69" spans="1:8" ht="14.85" x14ac:dyDescent="0.25">
      <c r="A69" s="3" t="s">
        <v>207</v>
      </c>
      <c r="B69" s="7" t="s">
        <v>282</v>
      </c>
      <c r="C69" s="7" t="s">
        <v>10</v>
      </c>
      <c r="D69" s="7">
        <v>45</v>
      </c>
      <c r="E69" s="3">
        <f t="shared" si="1"/>
        <v>45</v>
      </c>
      <c r="F69" s="7" t="s">
        <v>24</v>
      </c>
      <c r="G69" s="3"/>
      <c r="H69" s="7" t="s">
        <v>469</v>
      </c>
    </row>
    <row r="70" spans="1:8" ht="14.85" x14ac:dyDescent="0.25">
      <c r="A70" s="3" t="s">
        <v>207</v>
      </c>
      <c r="B70" s="7" t="s">
        <v>271</v>
      </c>
      <c r="C70" s="7" t="s">
        <v>192</v>
      </c>
      <c r="D70" s="7">
        <v>30</v>
      </c>
      <c r="E70" s="3">
        <f t="shared" si="1"/>
        <v>30</v>
      </c>
      <c r="F70" s="7" t="s">
        <v>18</v>
      </c>
      <c r="G70" s="3"/>
    </row>
    <row r="71" spans="1:8" ht="14.85" x14ac:dyDescent="0.25">
      <c r="A71" s="3" t="s">
        <v>207</v>
      </c>
      <c r="B71" s="7" t="s">
        <v>272</v>
      </c>
      <c r="C71" s="7" t="s">
        <v>192</v>
      </c>
      <c r="D71" s="7">
        <v>30</v>
      </c>
      <c r="E71" s="3">
        <f t="shared" si="1"/>
        <v>30</v>
      </c>
      <c r="F71" s="7" t="s">
        <v>18</v>
      </c>
      <c r="G71" s="3"/>
    </row>
    <row r="72" spans="1:8" ht="14.85" x14ac:dyDescent="0.25">
      <c r="A72" s="3" t="s">
        <v>207</v>
      </c>
      <c r="B72" s="7" t="s">
        <v>273</v>
      </c>
      <c r="C72" s="7" t="s">
        <v>192</v>
      </c>
      <c r="D72" s="7">
        <v>30</v>
      </c>
      <c r="E72" s="3">
        <f t="shared" si="1"/>
        <v>30</v>
      </c>
      <c r="F72" s="7" t="s">
        <v>18</v>
      </c>
      <c r="G72" s="3"/>
    </row>
    <row r="73" spans="1:8" ht="14.85" x14ac:dyDescent="0.25">
      <c r="A73" s="3" t="s">
        <v>207</v>
      </c>
      <c r="B73" s="7" t="s">
        <v>274</v>
      </c>
      <c r="C73" s="7" t="s">
        <v>192</v>
      </c>
      <c r="D73" s="7">
        <v>30</v>
      </c>
      <c r="E73" s="3">
        <f t="shared" si="1"/>
        <v>30</v>
      </c>
      <c r="F73" s="7" t="s">
        <v>18</v>
      </c>
      <c r="G73" s="3"/>
    </row>
    <row r="74" spans="1:8" ht="14.85" x14ac:dyDescent="0.25">
      <c r="A74" s="3" t="s">
        <v>207</v>
      </c>
      <c r="B74" s="7" t="s">
        <v>275</v>
      </c>
      <c r="C74" s="7" t="s">
        <v>192</v>
      </c>
      <c r="D74" s="7">
        <v>30</v>
      </c>
      <c r="E74" s="3">
        <f t="shared" si="1"/>
        <v>30</v>
      </c>
      <c r="F74" s="7" t="s">
        <v>18</v>
      </c>
      <c r="G74" s="3"/>
    </row>
    <row r="75" spans="1:8" ht="14.85" x14ac:dyDescent="0.25">
      <c r="A75" s="3" t="s">
        <v>207</v>
      </c>
      <c r="B75" s="7" t="s">
        <v>276</v>
      </c>
      <c r="C75" s="7" t="s">
        <v>192</v>
      </c>
      <c r="D75" s="7">
        <v>30</v>
      </c>
      <c r="E75" s="3">
        <f t="shared" si="1"/>
        <v>30</v>
      </c>
      <c r="F75" s="7" t="s">
        <v>18</v>
      </c>
      <c r="G75" s="3"/>
    </row>
    <row r="76" spans="1:8" ht="14.85" x14ac:dyDescent="0.25">
      <c r="A76" s="3" t="s">
        <v>207</v>
      </c>
      <c r="B76" s="3" t="s">
        <v>267</v>
      </c>
      <c r="C76" s="7" t="s">
        <v>39</v>
      </c>
      <c r="E76" s="3">
        <f t="shared" si="1"/>
        <v>0</v>
      </c>
      <c r="F76" s="3"/>
      <c r="G76" s="3"/>
    </row>
    <row r="77" spans="1:8" ht="14.85" x14ac:dyDescent="0.25">
      <c r="A77" s="3" t="s">
        <v>207</v>
      </c>
      <c r="B77" s="3" t="s">
        <v>268</v>
      </c>
      <c r="C77" s="7" t="s">
        <v>39</v>
      </c>
      <c r="E77" s="3">
        <f t="shared" si="1"/>
        <v>0</v>
      </c>
      <c r="F77" s="3"/>
      <c r="G77" s="3"/>
    </row>
    <row r="78" spans="1:8" ht="14.85" x14ac:dyDescent="0.25">
      <c r="C78" s="3"/>
      <c r="F78" s="3"/>
      <c r="G78" s="3"/>
    </row>
    <row r="79" spans="1:8" ht="14.85" x14ac:dyDescent="0.25">
      <c r="C79" s="3"/>
      <c r="F79" s="3"/>
      <c r="G79" s="3"/>
    </row>
    <row r="80" spans="1:8" ht="14.85" x14ac:dyDescent="0.25">
      <c r="C80" s="3"/>
      <c r="F80" s="3"/>
      <c r="G80" s="3"/>
    </row>
    <row r="81" spans="3:7" ht="14.85" x14ac:dyDescent="0.25">
      <c r="C81" s="3"/>
      <c r="F81" s="3"/>
      <c r="G81" s="3"/>
    </row>
    <row r="82" spans="3:7" ht="14.85" x14ac:dyDescent="0.25">
      <c r="C82" s="3"/>
      <c r="F82" s="3"/>
      <c r="G82" s="3"/>
    </row>
    <row r="83" spans="3:7" ht="14.85" x14ac:dyDescent="0.25">
      <c r="C83" s="3"/>
      <c r="F83" s="3"/>
      <c r="G83" s="3"/>
    </row>
    <row r="84" spans="3:7" ht="14.85" x14ac:dyDescent="0.25">
      <c r="C84" s="3"/>
      <c r="F84" s="3"/>
      <c r="G84" s="3"/>
    </row>
    <row r="85" spans="3:7" ht="14.85" x14ac:dyDescent="0.25">
      <c r="C85" s="3"/>
      <c r="F85" s="3"/>
      <c r="G85" s="3"/>
    </row>
    <row r="86" spans="3:7" ht="14.85" x14ac:dyDescent="0.25">
      <c r="C86" s="3"/>
      <c r="F86" s="3"/>
      <c r="G86" s="3"/>
    </row>
    <row r="87" spans="3:7" ht="14.85" x14ac:dyDescent="0.25">
      <c r="C87" s="3"/>
      <c r="F87" s="3"/>
      <c r="G87" s="3"/>
    </row>
    <row r="88" spans="3:7" ht="14.85" x14ac:dyDescent="0.25">
      <c r="C88" s="3"/>
      <c r="F88" s="3"/>
      <c r="G88" s="3"/>
    </row>
    <row r="89" spans="3:7" ht="14.85" x14ac:dyDescent="0.25">
      <c r="C89" s="3"/>
      <c r="F89" s="3"/>
      <c r="G89" s="3"/>
    </row>
    <row r="90" spans="3:7" ht="14.85" x14ac:dyDescent="0.25">
      <c r="C90" s="3"/>
      <c r="F90" s="3"/>
      <c r="G90" s="3"/>
    </row>
    <row r="91" spans="3:7" ht="14.85" x14ac:dyDescent="0.25">
      <c r="C91" s="3"/>
      <c r="F91" s="3"/>
      <c r="G91" s="3"/>
    </row>
    <row r="92" spans="3:7" ht="14.85" x14ac:dyDescent="0.25">
      <c r="C92" s="3"/>
      <c r="F92" s="3"/>
      <c r="G92" s="3"/>
    </row>
    <row r="93" spans="3:7" ht="14.85" x14ac:dyDescent="0.25">
      <c r="C93" s="3"/>
      <c r="F93" s="3"/>
      <c r="G93" s="3"/>
    </row>
    <row r="94" spans="3:7" ht="14.85" x14ac:dyDescent="0.25">
      <c r="C94" s="3"/>
      <c r="F94" s="3"/>
      <c r="G94" s="3"/>
    </row>
    <row r="95" spans="3:7" ht="14.85" x14ac:dyDescent="0.25">
      <c r="C95" s="3"/>
      <c r="F95" s="3"/>
      <c r="G95" s="3"/>
    </row>
    <row r="96" spans="3:7" ht="14.85" x14ac:dyDescent="0.25">
      <c r="C96" s="3"/>
      <c r="F96" s="3"/>
      <c r="G96" s="3"/>
    </row>
    <row r="97" spans="3:7" ht="14.85" x14ac:dyDescent="0.25">
      <c r="C97" s="3"/>
      <c r="F97" s="3"/>
      <c r="G97" s="3"/>
    </row>
    <row r="98" spans="3:7" ht="14.85" x14ac:dyDescent="0.25">
      <c r="C98" s="3"/>
      <c r="F98" s="3"/>
      <c r="G98" s="3"/>
    </row>
    <row r="99" spans="3:7" ht="14.85" x14ac:dyDescent="0.25">
      <c r="C99" s="3"/>
      <c r="F99" s="3"/>
      <c r="G99" s="3"/>
    </row>
    <row r="100" spans="3:7" ht="14.85" x14ac:dyDescent="0.25">
      <c r="C100" s="3"/>
      <c r="F100" s="3"/>
      <c r="G100" s="3"/>
    </row>
    <row r="101" spans="3:7" ht="14.85" x14ac:dyDescent="0.25">
      <c r="C101" s="3"/>
      <c r="F101" s="3"/>
      <c r="G101" s="3"/>
    </row>
    <row r="102" spans="3:7" ht="14.85" x14ac:dyDescent="0.25">
      <c r="C102" s="3"/>
      <c r="F102" s="3"/>
      <c r="G102" s="3"/>
    </row>
    <row r="103" spans="3:7" ht="14.85" x14ac:dyDescent="0.25">
      <c r="C103" s="3"/>
      <c r="F103" s="3"/>
      <c r="G103" s="3"/>
    </row>
    <row r="104" spans="3:7" ht="14.85" x14ac:dyDescent="0.25">
      <c r="C104" s="3"/>
      <c r="F104" s="3"/>
      <c r="G104" s="3"/>
    </row>
    <row r="105" spans="3:7" ht="14.85" x14ac:dyDescent="0.25">
      <c r="C105" s="3"/>
      <c r="F105" s="3"/>
      <c r="G105" s="3"/>
    </row>
    <row r="106" spans="3:7" ht="14.85" x14ac:dyDescent="0.25">
      <c r="C106" s="3"/>
      <c r="F106" s="3"/>
      <c r="G106" s="3"/>
    </row>
    <row r="107" spans="3:7" ht="14.85" x14ac:dyDescent="0.25">
      <c r="C107" s="3"/>
      <c r="F107" s="3"/>
      <c r="G107" s="3"/>
    </row>
    <row r="108" spans="3:7" ht="14.85" x14ac:dyDescent="0.25">
      <c r="C108" s="3"/>
      <c r="F108" s="3"/>
      <c r="G108" s="3"/>
    </row>
    <row r="109" spans="3:7" ht="14.85" x14ac:dyDescent="0.25">
      <c r="C109" s="3"/>
      <c r="F109" s="3"/>
      <c r="G109" s="3"/>
    </row>
    <row r="110" spans="3:7" ht="14.85" x14ac:dyDescent="0.25">
      <c r="C110" s="3"/>
      <c r="F110" s="3"/>
      <c r="G110" s="3"/>
    </row>
    <row r="111" spans="3:7" ht="14.85" x14ac:dyDescent="0.25">
      <c r="C111" s="3"/>
      <c r="F111" s="3"/>
      <c r="G111" s="3"/>
    </row>
    <row r="112" spans="3:7" ht="14.85" x14ac:dyDescent="0.25">
      <c r="C112" s="3"/>
      <c r="F112" s="3"/>
      <c r="G112" s="3"/>
    </row>
    <row r="113" spans="3:7" ht="14.85" x14ac:dyDescent="0.25">
      <c r="C113" s="3"/>
      <c r="F113" s="3"/>
      <c r="G113" s="3"/>
    </row>
    <row r="114" spans="3:7" ht="14.85" x14ac:dyDescent="0.25">
      <c r="C114" s="3"/>
      <c r="F114" s="3"/>
      <c r="G114" s="3"/>
    </row>
    <row r="115" spans="3:7" ht="14.85" x14ac:dyDescent="0.25">
      <c r="C115" s="3"/>
      <c r="F115" s="3"/>
      <c r="G115" s="3"/>
    </row>
    <row r="116" spans="3:7" ht="14.85" x14ac:dyDescent="0.25">
      <c r="C116" s="3"/>
      <c r="F116" s="3"/>
      <c r="G116" s="3"/>
    </row>
    <row r="117" spans="3:7" ht="14.85" x14ac:dyDescent="0.25">
      <c r="C117" s="3"/>
      <c r="F117" s="3"/>
      <c r="G117" s="3"/>
    </row>
    <row r="118" spans="3:7" ht="14.85" x14ac:dyDescent="0.25">
      <c r="C118" s="3"/>
      <c r="F118" s="3"/>
      <c r="G118" s="3"/>
    </row>
    <row r="119" spans="3:7" ht="14.85" x14ac:dyDescent="0.25">
      <c r="C119" s="3"/>
      <c r="F119" s="3"/>
      <c r="G119" s="3"/>
    </row>
    <row r="120" spans="3:7" ht="14.85" x14ac:dyDescent="0.25">
      <c r="C120" s="3"/>
      <c r="F120" s="3"/>
      <c r="G120" s="3"/>
    </row>
    <row r="121" spans="3:7" ht="14.85" x14ac:dyDescent="0.25">
      <c r="C121" s="3"/>
      <c r="F121" s="3"/>
      <c r="G121" s="3"/>
    </row>
    <row r="122" spans="3:7" ht="14.85" x14ac:dyDescent="0.25">
      <c r="C122" s="3"/>
      <c r="F122" s="3"/>
      <c r="G122" s="3"/>
    </row>
    <row r="123" spans="3:7" ht="14.85" x14ac:dyDescent="0.25">
      <c r="C123" s="3"/>
      <c r="F123" s="3"/>
      <c r="G123" s="3"/>
    </row>
    <row r="124" spans="3:7" ht="14.85" x14ac:dyDescent="0.25">
      <c r="C124" s="3"/>
      <c r="F124" s="3"/>
      <c r="G124" s="3"/>
    </row>
    <row r="125" spans="3:7" ht="14.85" x14ac:dyDescent="0.25">
      <c r="C125" s="3"/>
      <c r="F125" s="3"/>
      <c r="G125" s="3"/>
    </row>
    <row r="126" spans="3:7" ht="14.85" x14ac:dyDescent="0.25">
      <c r="C126" s="3"/>
      <c r="F126" s="3"/>
      <c r="G126" s="3"/>
    </row>
    <row r="127" spans="3:7" ht="14.85" x14ac:dyDescent="0.25">
      <c r="C127" s="3"/>
      <c r="F127" s="3"/>
      <c r="G127" s="3"/>
    </row>
    <row r="128" spans="3:7" ht="14.85" x14ac:dyDescent="0.25">
      <c r="C128" s="3"/>
      <c r="F128" s="3"/>
      <c r="G128" s="3"/>
    </row>
    <row r="129" spans="3:7" ht="14.85" x14ac:dyDescent="0.25">
      <c r="C129" s="3"/>
      <c r="F129" s="3"/>
      <c r="G129" s="3"/>
    </row>
    <row r="130" spans="3:7" ht="14.85" x14ac:dyDescent="0.25">
      <c r="C130" s="3"/>
      <c r="F130" s="3"/>
      <c r="G130" s="3"/>
    </row>
    <row r="131" spans="3:7" ht="14.85" x14ac:dyDescent="0.25">
      <c r="C131" s="3"/>
      <c r="F131" s="3"/>
      <c r="G131" s="3"/>
    </row>
    <row r="132" spans="3:7" ht="14.85" x14ac:dyDescent="0.25">
      <c r="C132" s="3"/>
      <c r="F132" s="3"/>
      <c r="G132" s="3"/>
    </row>
    <row r="133" spans="3:7" ht="14.85" x14ac:dyDescent="0.25">
      <c r="C133" s="3"/>
      <c r="F133" s="3"/>
      <c r="G133" s="3"/>
    </row>
    <row r="134" spans="3:7" ht="14.85" x14ac:dyDescent="0.25">
      <c r="C134" s="3"/>
      <c r="F134" s="3"/>
      <c r="G134" s="3"/>
    </row>
    <row r="135" spans="3:7" ht="14.85" x14ac:dyDescent="0.25">
      <c r="C135" s="3"/>
      <c r="F135" s="3"/>
      <c r="G135" s="3"/>
    </row>
    <row r="136" spans="3:7" ht="14.85" x14ac:dyDescent="0.25">
      <c r="C136" s="3"/>
      <c r="F136" s="3"/>
      <c r="G136" s="3"/>
    </row>
    <row r="137" spans="3:7" ht="14.85" x14ac:dyDescent="0.25">
      <c r="C137" s="3"/>
      <c r="F137" s="3"/>
      <c r="G137" s="3"/>
    </row>
    <row r="138" spans="3:7" ht="14.85" x14ac:dyDescent="0.25">
      <c r="C138" s="3"/>
      <c r="F138" s="3"/>
      <c r="G138" s="3"/>
    </row>
    <row r="139" spans="3:7" ht="14.85" x14ac:dyDescent="0.25">
      <c r="C139" s="3"/>
      <c r="F139" s="3"/>
      <c r="G139" s="3"/>
    </row>
    <row r="140" spans="3:7" ht="14.85" x14ac:dyDescent="0.25">
      <c r="C140" s="3"/>
      <c r="F140" s="3"/>
      <c r="G140" s="3"/>
    </row>
    <row r="141" spans="3:7" ht="14.85" x14ac:dyDescent="0.25">
      <c r="C141" s="3"/>
      <c r="F141" s="3"/>
      <c r="G141" s="3"/>
    </row>
    <row r="142" spans="3:7" ht="14.85" x14ac:dyDescent="0.25">
      <c r="C142" s="3"/>
      <c r="F142" s="3"/>
      <c r="G142" s="3"/>
    </row>
    <row r="143" spans="3:7" ht="14.85" x14ac:dyDescent="0.25">
      <c r="C143" s="3"/>
      <c r="F143" s="3"/>
      <c r="G143" s="3"/>
    </row>
    <row r="144" spans="3:7" ht="14.85" x14ac:dyDescent="0.25">
      <c r="C144" s="3"/>
      <c r="F144" s="3"/>
      <c r="G144" s="3"/>
    </row>
    <row r="145" spans="3:7" ht="14.85" x14ac:dyDescent="0.25">
      <c r="C145" s="3"/>
      <c r="F145" s="3"/>
      <c r="G145" s="3"/>
    </row>
    <row r="146" spans="3:7" ht="14.85" x14ac:dyDescent="0.25">
      <c r="C146" s="3"/>
      <c r="F146" s="3"/>
      <c r="G146" s="3"/>
    </row>
    <row r="147" spans="3:7" ht="14.85" x14ac:dyDescent="0.25">
      <c r="C147" s="3"/>
      <c r="F147" s="3"/>
      <c r="G147" s="3"/>
    </row>
    <row r="148" spans="3:7" ht="14.85" x14ac:dyDescent="0.25">
      <c r="C148" s="3"/>
      <c r="F148" s="3"/>
      <c r="G148" s="3"/>
    </row>
    <row r="149" spans="3:7" ht="14.85" x14ac:dyDescent="0.25">
      <c r="C149" s="3"/>
      <c r="F149" s="3"/>
      <c r="G149" s="3"/>
    </row>
    <row r="150" spans="3:7" ht="14.85" x14ac:dyDescent="0.25">
      <c r="C150" s="3"/>
      <c r="F150" s="3"/>
      <c r="G150" s="3"/>
    </row>
    <row r="151" spans="3:7" ht="14.85" x14ac:dyDescent="0.25">
      <c r="C151" s="3"/>
      <c r="F151" s="3"/>
      <c r="G151" s="3"/>
    </row>
    <row r="152" spans="3:7" ht="14.85" x14ac:dyDescent="0.25">
      <c r="C152" s="3"/>
      <c r="F152" s="3"/>
      <c r="G152" s="3"/>
    </row>
    <row r="153" spans="3:7" ht="14.85" x14ac:dyDescent="0.25">
      <c r="C153" s="3"/>
      <c r="F153" s="3"/>
      <c r="G153" s="3"/>
    </row>
    <row r="154" spans="3:7" ht="14.85" x14ac:dyDescent="0.25">
      <c r="C154" s="3"/>
      <c r="F154" s="3"/>
      <c r="G154" s="3"/>
    </row>
    <row r="155" spans="3:7" ht="14.85" x14ac:dyDescent="0.25">
      <c r="C155" s="3"/>
      <c r="F155" s="3"/>
      <c r="G155" s="3"/>
    </row>
    <row r="156" spans="3:7" ht="14.85" x14ac:dyDescent="0.25">
      <c r="C156" s="3"/>
      <c r="F156" s="3"/>
      <c r="G156" s="3"/>
    </row>
    <row r="157" spans="3:7" ht="14.85" x14ac:dyDescent="0.25">
      <c r="C157" s="3"/>
      <c r="F157" s="3"/>
      <c r="G157" s="3"/>
    </row>
    <row r="158" spans="3:7" ht="14.85" x14ac:dyDescent="0.25">
      <c r="C158" s="3"/>
      <c r="F158" s="3"/>
      <c r="G158" s="3"/>
    </row>
    <row r="159" spans="3:7" ht="14.85" x14ac:dyDescent="0.25">
      <c r="C159" s="3"/>
      <c r="F159" s="3"/>
      <c r="G159" s="3"/>
    </row>
    <row r="160" spans="3:7" ht="14.85" x14ac:dyDescent="0.25">
      <c r="C160" s="3"/>
      <c r="F160" s="3"/>
      <c r="G160" s="3"/>
    </row>
    <row r="161" spans="3:7" ht="14.85" x14ac:dyDescent="0.25">
      <c r="C161" s="3"/>
      <c r="F161" s="3"/>
      <c r="G161" s="3"/>
    </row>
    <row r="162" spans="3:7" ht="14.85" x14ac:dyDescent="0.25">
      <c r="C162" s="3"/>
      <c r="F162" s="3"/>
      <c r="G162" s="3"/>
    </row>
    <row r="163" spans="3:7" ht="14.85" x14ac:dyDescent="0.25">
      <c r="C163" s="3"/>
      <c r="F163" s="3"/>
      <c r="G163" s="3"/>
    </row>
    <row r="164" spans="3:7" ht="14.85" x14ac:dyDescent="0.25">
      <c r="C164" s="3"/>
      <c r="F164" s="3"/>
      <c r="G164" s="3"/>
    </row>
    <row r="165" spans="3:7" ht="14.85" x14ac:dyDescent="0.25">
      <c r="C165" s="3"/>
      <c r="F165" s="3"/>
      <c r="G165" s="3"/>
    </row>
    <row r="166" spans="3:7" ht="14.85" x14ac:dyDescent="0.25">
      <c r="C166" s="3"/>
      <c r="F166" s="3"/>
      <c r="G166" s="3"/>
    </row>
    <row r="167" spans="3:7" ht="14.85" x14ac:dyDescent="0.25">
      <c r="C167" s="3"/>
      <c r="F167" s="3"/>
      <c r="G167" s="3"/>
    </row>
    <row r="168" spans="3:7" ht="14.85" x14ac:dyDescent="0.25">
      <c r="C168" s="3"/>
      <c r="F168" s="3"/>
      <c r="G168" s="3"/>
    </row>
    <row r="169" spans="3:7" ht="14.85" x14ac:dyDescent="0.25">
      <c r="C169" s="3"/>
      <c r="F169" s="3"/>
      <c r="G169" s="3"/>
    </row>
    <row r="170" spans="3:7" ht="14.85" x14ac:dyDescent="0.25">
      <c r="C170" s="3"/>
      <c r="F170" s="3"/>
      <c r="G170" s="3"/>
    </row>
    <row r="171" spans="3:7" ht="14.85" x14ac:dyDescent="0.25">
      <c r="C171" s="3"/>
      <c r="F171" s="3"/>
      <c r="G171" s="3"/>
    </row>
    <row r="172" spans="3:7" ht="14.85" x14ac:dyDescent="0.25">
      <c r="C172" s="3"/>
      <c r="F172" s="3"/>
      <c r="G172" s="3"/>
    </row>
    <row r="173" spans="3:7" ht="14.85" x14ac:dyDescent="0.25">
      <c r="C173" s="3"/>
      <c r="F173" s="3"/>
      <c r="G173" s="3"/>
    </row>
    <row r="174" spans="3:7" ht="14.85" x14ac:dyDescent="0.25">
      <c r="C174" s="3"/>
      <c r="F174" s="3"/>
      <c r="G174" s="3"/>
    </row>
    <row r="175" spans="3:7" ht="14.85" x14ac:dyDescent="0.25">
      <c r="C175" s="3"/>
      <c r="F175" s="3"/>
      <c r="G175" s="3"/>
    </row>
    <row r="176" spans="3:7" ht="14.85" x14ac:dyDescent="0.25">
      <c r="C176" s="3"/>
      <c r="F176" s="3"/>
      <c r="G176" s="3"/>
    </row>
    <row r="177" spans="3:7" ht="14.85" x14ac:dyDescent="0.25">
      <c r="C177" s="3"/>
      <c r="F177" s="3"/>
      <c r="G177" s="3"/>
    </row>
    <row r="178" spans="3:7" ht="14.85" x14ac:dyDescent="0.25">
      <c r="C178" s="3"/>
      <c r="F178" s="3"/>
      <c r="G178" s="3"/>
    </row>
    <row r="179" spans="3:7" ht="14.85" x14ac:dyDescent="0.25">
      <c r="C179" s="3"/>
      <c r="F179" s="3"/>
      <c r="G179" s="3"/>
    </row>
    <row r="180" spans="3:7" ht="14.85" x14ac:dyDescent="0.25">
      <c r="C180" s="3"/>
      <c r="F180" s="3"/>
      <c r="G180" s="3"/>
    </row>
    <row r="181" spans="3:7" ht="14.85" x14ac:dyDescent="0.25">
      <c r="C181" s="3"/>
      <c r="F181" s="3"/>
      <c r="G181" s="3"/>
    </row>
    <row r="182" spans="3:7" ht="14.85" x14ac:dyDescent="0.25">
      <c r="C182" s="3"/>
      <c r="F182" s="3"/>
      <c r="G182" s="3"/>
    </row>
    <row r="183" spans="3:7" ht="14.85" x14ac:dyDescent="0.25">
      <c r="C183" s="3"/>
      <c r="F183" s="3"/>
      <c r="G183" s="3"/>
    </row>
    <row r="184" spans="3:7" ht="14.85" x14ac:dyDescent="0.25">
      <c r="C184" s="3"/>
      <c r="F184" s="3"/>
      <c r="G184" s="3"/>
    </row>
    <row r="185" spans="3:7" ht="14.85" x14ac:dyDescent="0.25">
      <c r="C185" s="3"/>
      <c r="F185" s="3"/>
      <c r="G185" s="3"/>
    </row>
    <row r="186" spans="3:7" ht="14.85" x14ac:dyDescent="0.25">
      <c r="C186" s="3"/>
      <c r="F186" s="3"/>
      <c r="G186" s="3"/>
    </row>
    <row r="187" spans="3:7" ht="14.85" x14ac:dyDescent="0.25">
      <c r="C187" s="3"/>
      <c r="F187" s="3"/>
      <c r="G187" s="3"/>
    </row>
    <row r="188" spans="3:7" ht="14.85" x14ac:dyDescent="0.25">
      <c r="C188" s="3"/>
      <c r="F188" s="3"/>
      <c r="G188" s="3"/>
    </row>
    <row r="189" spans="3:7" ht="14.85" x14ac:dyDescent="0.25">
      <c r="C189" s="3"/>
      <c r="F189" s="3"/>
      <c r="G189" s="3"/>
    </row>
    <row r="190" spans="3:7" ht="14.85" x14ac:dyDescent="0.25">
      <c r="C190" s="3"/>
      <c r="F190" s="3"/>
      <c r="G190" s="3"/>
    </row>
    <row r="191" spans="3:7" ht="14.85" x14ac:dyDescent="0.25">
      <c r="C191" s="3"/>
      <c r="F191" s="3"/>
      <c r="G191" s="3"/>
    </row>
    <row r="192" spans="3:7" ht="14.85" x14ac:dyDescent="0.25">
      <c r="C192" s="3"/>
      <c r="F192" s="3"/>
      <c r="G192" s="3"/>
    </row>
    <row r="193" spans="3:7" ht="14.85" x14ac:dyDescent="0.25">
      <c r="C193" s="3"/>
      <c r="F193" s="3"/>
      <c r="G193" s="3"/>
    </row>
    <row r="194" spans="3:7" ht="14.85" x14ac:dyDescent="0.25">
      <c r="C194" s="3"/>
      <c r="F194" s="3"/>
      <c r="G194" s="3"/>
    </row>
    <row r="195" spans="3:7" ht="14.85" x14ac:dyDescent="0.25">
      <c r="C195" s="3"/>
      <c r="F195" s="3"/>
      <c r="G195" s="3"/>
    </row>
    <row r="196" spans="3:7" ht="14.85" x14ac:dyDescent="0.25">
      <c r="C196" s="3"/>
      <c r="F196" s="3"/>
      <c r="G196" s="3"/>
    </row>
    <row r="197" spans="3:7" ht="14.85" x14ac:dyDescent="0.25">
      <c r="C197" s="3"/>
      <c r="F197" s="3"/>
      <c r="G197" s="3"/>
    </row>
    <row r="198" spans="3:7" ht="14.85" x14ac:dyDescent="0.25">
      <c r="C198" s="3"/>
      <c r="F198" s="3"/>
      <c r="G198" s="3"/>
    </row>
    <row r="199" spans="3:7" ht="14.85" x14ac:dyDescent="0.25">
      <c r="C199" s="3"/>
      <c r="F199" s="3"/>
      <c r="G199" s="3"/>
    </row>
    <row r="200" spans="3:7" ht="14.85" x14ac:dyDescent="0.25">
      <c r="C200" s="3"/>
      <c r="F200" s="3"/>
      <c r="G200" s="3"/>
    </row>
    <row r="201" spans="3:7" ht="14.85" x14ac:dyDescent="0.25">
      <c r="C201" s="3"/>
      <c r="F201" s="3"/>
      <c r="G201" s="3"/>
    </row>
    <row r="202" spans="3:7" ht="14.85" x14ac:dyDescent="0.25">
      <c r="C202" s="3"/>
      <c r="F202" s="3"/>
      <c r="G202" s="3"/>
    </row>
    <row r="203" spans="3:7" ht="14.85" x14ac:dyDescent="0.25">
      <c r="C203" s="3"/>
      <c r="F203" s="3"/>
      <c r="G203" s="3"/>
    </row>
    <row r="204" spans="3:7" ht="14.85" x14ac:dyDescent="0.25">
      <c r="C204" s="3"/>
      <c r="F204" s="3"/>
      <c r="G204" s="3"/>
    </row>
    <row r="205" spans="3:7" ht="14.85" x14ac:dyDescent="0.25">
      <c r="C205" s="3"/>
      <c r="F205" s="3"/>
      <c r="G205" s="3"/>
    </row>
    <row r="206" spans="3:7" ht="14.85" x14ac:dyDescent="0.25">
      <c r="C206" s="3"/>
      <c r="F206" s="3"/>
      <c r="G206" s="3"/>
    </row>
    <row r="207" spans="3:7" ht="14.85" x14ac:dyDescent="0.25">
      <c r="C207" s="3"/>
      <c r="F207" s="3"/>
      <c r="G207" s="3"/>
    </row>
    <row r="208" spans="3:7" ht="14.85" x14ac:dyDescent="0.25">
      <c r="C208" s="3"/>
      <c r="F208" s="3"/>
      <c r="G208" s="3"/>
    </row>
    <row r="209" spans="3:7" ht="14.85" x14ac:dyDescent="0.25">
      <c r="C209" s="3"/>
      <c r="F209" s="3"/>
      <c r="G209" s="3"/>
    </row>
    <row r="210" spans="3:7" ht="14.85" x14ac:dyDescent="0.25">
      <c r="C210" s="3"/>
      <c r="F210" s="3"/>
      <c r="G210" s="3"/>
    </row>
    <row r="211" spans="3:7" ht="14.85" x14ac:dyDescent="0.25">
      <c r="C211" s="3"/>
      <c r="F211" s="3"/>
      <c r="G211" s="3"/>
    </row>
    <row r="212" spans="3:7" ht="14.85" x14ac:dyDescent="0.25">
      <c r="C212" s="3"/>
      <c r="F212" s="3"/>
      <c r="G212" s="3"/>
    </row>
    <row r="213" spans="3:7" ht="14.85" x14ac:dyDescent="0.25">
      <c r="C213" s="3"/>
      <c r="F213" s="3"/>
      <c r="G213" s="3"/>
    </row>
    <row r="214" spans="3:7" ht="14.85" x14ac:dyDescent="0.25">
      <c r="C214" s="3"/>
      <c r="F214" s="3"/>
      <c r="G214" s="3"/>
    </row>
    <row r="215" spans="3:7" ht="14.85" x14ac:dyDescent="0.25">
      <c r="C215" s="3"/>
      <c r="F215" s="3"/>
      <c r="G215" s="3"/>
    </row>
    <row r="216" spans="3:7" ht="14.85" x14ac:dyDescent="0.25">
      <c r="C216" s="3"/>
      <c r="F216" s="3"/>
      <c r="G216" s="3"/>
    </row>
    <row r="217" spans="3:7" ht="14.85" x14ac:dyDescent="0.25">
      <c r="C217" s="3"/>
      <c r="F217" s="3"/>
      <c r="G217" s="3"/>
    </row>
    <row r="218" spans="3:7" ht="14.85" x14ac:dyDescent="0.25">
      <c r="C218" s="3"/>
      <c r="F218" s="3"/>
      <c r="G218" s="3"/>
    </row>
    <row r="219" spans="3:7" ht="14.85" x14ac:dyDescent="0.25">
      <c r="C219" s="3"/>
      <c r="F219" s="3"/>
      <c r="G219" s="3"/>
    </row>
    <row r="220" spans="3:7" ht="14.85" x14ac:dyDescent="0.25">
      <c r="C220" s="3"/>
      <c r="F220" s="3"/>
      <c r="G220" s="3"/>
    </row>
    <row r="221" spans="3:7" ht="14.85" x14ac:dyDescent="0.25">
      <c r="C221" s="3"/>
      <c r="F221" s="3"/>
      <c r="G221" s="3"/>
    </row>
    <row r="222" spans="3:7" ht="14.85" x14ac:dyDescent="0.25">
      <c r="C222" s="3"/>
      <c r="F222" s="3"/>
      <c r="G222" s="3"/>
    </row>
    <row r="223" spans="3:7" ht="14.85" x14ac:dyDescent="0.25">
      <c r="C223" s="3"/>
      <c r="F223" s="3"/>
      <c r="G223" s="3"/>
    </row>
    <row r="224" spans="3:7" ht="14.85" x14ac:dyDescent="0.25">
      <c r="C224" s="3"/>
      <c r="F224" s="3"/>
      <c r="G224" s="3"/>
    </row>
    <row r="225" spans="3:7" ht="14.85" x14ac:dyDescent="0.25">
      <c r="C225" s="3"/>
      <c r="F225" s="3"/>
      <c r="G225" s="3"/>
    </row>
    <row r="226" spans="3:7" ht="14.85" x14ac:dyDescent="0.25">
      <c r="C226" s="3"/>
      <c r="F226" s="3"/>
      <c r="G226" s="3"/>
    </row>
    <row r="227" spans="3:7" ht="14.85" x14ac:dyDescent="0.25">
      <c r="C227" s="3"/>
      <c r="F227" s="3"/>
      <c r="G227" s="3"/>
    </row>
    <row r="228" spans="3:7" ht="14.85" x14ac:dyDescent="0.25">
      <c r="C228" s="3"/>
      <c r="F228" s="3"/>
      <c r="G228" s="3"/>
    </row>
    <row r="229" spans="3:7" ht="14.85" x14ac:dyDescent="0.25">
      <c r="C229" s="3"/>
      <c r="F229" s="3"/>
      <c r="G229" s="3"/>
    </row>
    <row r="230" spans="3:7" ht="14.85" x14ac:dyDescent="0.25">
      <c r="C230" s="3"/>
      <c r="F230" s="3"/>
      <c r="G230" s="3"/>
    </row>
    <row r="231" spans="3:7" ht="14.85" x14ac:dyDescent="0.25">
      <c r="C231" s="3"/>
      <c r="F231" s="3"/>
      <c r="G231" s="3"/>
    </row>
    <row r="232" spans="3:7" ht="14.85" x14ac:dyDescent="0.25">
      <c r="C232" s="3"/>
      <c r="F232" s="3"/>
      <c r="G232" s="3"/>
    </row>
    <row r="233" spans="3:7" ht="14.85" x14ac:dyDescent="0.25">
      <c r="C233" s="3"/>
      <c r="F233" s="3"/>
      <c r="G233" s="3"/>
    </row>
    <row r="234" spans="3:7" ht="14.85" x14ac:dyDescent="0.25">
      <c r="C234" s="3"/>
      <c r="F234" s="3"/>
      <c r="G234" s="3"/>
    </row>
    <row r="235" spans="3:7" ht="14.85" x14ac:dyDescent="0.25">
      <c r="C235" s="3"/>
      <c r="F235" s="3"/>
      <c r="G235" s="3"/>
    </row>
    <row r="236" spans="3:7" ht="14.85" x14ac:dyDescent="0.25">
      <c r="C236" s="3"/>
      <c r="F236" s="3"/>
      <c r="G236" s="3"/>
    </row>
    <row r="237" spans="3:7" ht="14.85" x14ac:dyDescent="0.25">
      <c r="C237" s="3"/>
      <c r="F237" s="3"/>
      <c r="G237" s="3"/>
    </row>
    <row r="238" spans="3:7" ht="14.85" x14ac:dyDescent="0.25">
      <c r="C238" s="3"/>
      <c r="F238" s="3"/>
      <c r="G238" s="3"/>
    </row>
    <row r="239" spans="3:7" ht="14.85" x14ac:dyDescent="0.25">
      <c r="C239" s="3"/>
      <c r="F239" s="3"/>
      <c r="G239" s="3"/>
    </row>
    <row r="240" spans="3:7" ht="14.85" x14ac:dyDescent="0.25">
      <c r="C240" s="3"/>
      <c r="F240" s="3"/>
      <c r="G240" s="3"/>
    </row>
    <row r="241" spans="3:7" ht="14.85" x14ac:dyDescent="0.25">
      <c r="C241" s="3"/>
      <c r="F241" s="3"/>
      <c r="G241" s="3"/>
    </row>
    <row r="242" spans="3:7" ht="14.85" x14ac:dyDescent="0.25">
      <c r="C242" s="3"/>
      <c r="F242" s="3"/>
      <c r="G242" s="3"/>
    </row>
    <row r="243" spans="3:7" ht="14.85" x14ac:dyDescent="0.25">
      <c r="C243" s="3"/>
      <c r="F243" s="3"/>
      <c r="G243" s="3"/>
    </row>
    <row r="244" spans="3:7" ht="14.85" x14ac:dyDescent="0.25">
      <c r="C244" s="3"/>
      <c r="F244" s="3"/>
      <c r="G244" s="3"/>
    </row>
    <row r="245" spans="3:7" ht="14.85" x14ac:dyDescent="0.25">
      <c r="C245" s="3"/>
      <c r="F245" s="3"/>
      <c r="G245" s="3"/>
    </row>
    <row r="246" spans="3:7" ht="14.85" x14ac:dyDescent="0.25">
      <c r="C246" s="3"/>
      <c r="F246" s="3"/>
      <c r="G246" s="3"/>
    </row>
    <row r="247" spans="3:7" ht="14.85" x14ac:dyDescent="0.25">
      <c r="C247" s="3"/>
      <c r="F247" s="3"/>
      <c r="G247" s="3"/>
    </row>
    <row r="248" spans="3:7" ht="14.85" x14ac:dyDescent="0.25">
      <c r="C248" s="3"/>
      <c r="F248" s="3"/>
      <c r="G248" s="3"/>
    </row>
    <row r="249" spans="3:7" ht="14.85" x14ac:dyDescent="0.25">
      <c r="C249" s="3"/>
      <c r="F249" s="3"/>
      <c r="G249" s="3"/>
    </row>
    <row r="250" spans="3:7" ht="14.85" x14ac:dyDescent="0.25">
      <c r="C250" s="3"/>
      <c r="F250" s="3"/>
      <c r="G250" s="3"/>
    </row>
    <row r="251" spans="3:7" ht="14.85" x14ac:dyDescent="0.25">
      <c r="C251" s="3"/>
      <c r="F251" s="3"/>
      <c r="G251" s="3"/>
    </row>
    <row r="252" spans="3:7" ht="14.85" x14ac:dyDescent="0.25">
      <c r="C252" s="3"/>
      <c r="F252" s="3"/>
      <c r="G252" s="3"/>
    </row>
    <row r="253" spans="3:7" ht="14.85" x14ac:dyDescent="0.25">
      <c r="C253" s="3"/>
      <c r="F253" s="3"/>
      <c r="G253" s="3"/>
    </row>
    <row r="254" spans="3:7" ht="14.85" x14ac:dyDescent="0.25">
      <c r="C254" s="3"/>
      <c r="F254" s="3"/>
      <c r="G254" s="3"/>
    </row>
    <row r="255" spans="3:7" ht="14.85" x14ac:dyDescent="0.25">
      <c r="C255" s="3"/>
      <c r="F255" s="3"/>
      <c r="G255" s="3"/>
    </row>
    <row r="256" spans="3:7" ht="14.85" x14ac:dyDescent="0.25">
      <c r="C256" s="3"/>
      <c r="F256" s="3"/>
      <c r="G256" s="3"/>
    </row>
    <row r="257" spans="3:7" ht="14.85" x14ac:dyDescent="0.25">
      <c r="C257" s="3"/>
      <c r="F257" s="3"/>
      <c r="G257" s="3"/>
    </row>
    <row r="258" spans="3:7" ht="14.85" x14ac:dyDescent="0.25">
      <c r="C258" s="3"/>
      <c r="F258" s="3"/>
      <c r="G258" s="3"/>
    </row>
    <row r="259" spans="3:7" ht="14.85" x14ac:dyDescent="0.25">
      <c r="C259" s="3"/>
      <c r="F259" s="3"/>
      <c r="G259" s="3"/>
    </row>
    <row r="260" spans="3:7" ht="14.85" x14ac:dyDescent="0.25">
      <c r="C260" s="3"/>
      <c r="F260" s="3"/>
      <c r="G260" s="3"/>
    </row>
    <row r="261" spans="3:7" ht="14.85" x14ac:dyDescent="0.25">
      <c r="C261" s="3"/>
      <c r="F261" s="3"/>
      <c r="G261" s="3"/>
    </row>
    <row r="262" spans="3:7" ht="14.85" x14ac:dyDescent="0.25">
      <c r="C262" s="3"/>
      <c r="F262" s="3"/>
      <c r="G262" s="3"/>
    </row>
    <row r="263" spans="3:7" ht="14.85" x14ac:dyDescent="0.25">
      <c r="C263" s="3"/>
      <c r="F263" s="3"/>
      <c r="G263" s="3"/>
    </row>
    <row r="264" spans="3:7" ht="14.85" x14ac:dyDescent="0.25">
      <c r="C264" s="3"/>
      <c r="F264" s="3"/>
      <c r="G264" s="3"/>
    </row>
    <row r="265" spans="3:7" ht="14.85" x14ac:dyDescent="0.25">
      <c r="C265" s="3"/>
      <c r="F265" s="3"/>
      <c r="G265" s="3"/>
    </row>
    <row r="266" spans="3:7" ht="14.85" x14ac:dyDescent="0.25">
      <c r="C266" s="3"/>
      <c r="F266" s="3"/>
      <c r="G266" s="3"/>
    </row>
    <row r="267" spans="3:7" ht="14.85" x14ac:dyDescent="0.25">
      <c r="C267" s="3"/>
      <c r="F267" s="3"/>
      <c r="G267" s="3"/>
    </row>
    <row r="268" spans="3:7" ht="14.85" x14ac:dyDescent="0.25">
      <c r="C268" s="3"/>
      <c r="F268" s="3"/>
      <c r="G268" s="3"/>
    </row>
    <row r="269" spans="3:7" ht="14.85" x14ac:dyDescent="0.25">
      <c r="C269" s="3"/>
      <c r="F269" s="3"/>
      <c r="G269" s="3"/>
    </row>
    <row r="270" spans="3:7" ht="14.85" x14ac:dyDescent="0.25">
      <c r="C270" s="3"/>
      <c r="F270" s="3"/>
      <c r="G270" s="3"/>
    </row>
    <row r="271" spans="3:7" ht="14.85" x14ac:dyDescent="0.25">
      <c r="C271" s="3"/>
      <c r="F271" s="3"/>
      <c r="G271" s="3"/>
    </row>
    <row r="272" spans="3:7" ht="14.85" x14ac:dyDescent="0.25">
      <c r="C272" s="3"/>
      <c r="F272" s="3"/>
      <c r="G272" s="3"/>
    </row>
    <row r="273" spans="3:7" ht="14.85" x14ac:dyDescent="0.25">
      <c r="C273" s="3"/>
      <c r="F273" s="3"/>
      <c r="G273" s="3"/>
    </row>
    <row r="274" spans="3:7" ht="14.85" x14ac:dyDescent="0.25">
      <c r="C274" s="3"/>
      <c r="F274" s="3"/>
      <c r="G274" s="3"/>
    </row>
    <row r="275" spans="3:7" ht="14.85" x14ac:dyDescent="0.25">
      <c r="C275" s="3"/>
      <c r="F275" s="3"/>
      <c r="G275" s="3"/>
    </row>
    <row r="276" spans="3:7" ht="14.85" x14ac:dyDescent="0.25">
      <c r="C276" s="3"/>
      <c r="F276" s="3"/>
      <c r="G276" s="3"/>
    </row>
    <row r="277" spans="3:7" ht="14.85" x14ac:dyDescent="0.25">
      <c r="C277" s="3"/>
      <c r="F277" s="3"/>
      <c r="G277" s="3"/>
    </row>
    <row r="278" spans="3:7" ht="14.85" x14ac:dyDescent="0.25">
      <c r="C278" s="3"/>
      <c r="F278" s="3"/>
      <c r="G278" s="3"/>
    </row>
    <row r="279" spans="3:7" ht="14.85" x14ac:dyDescent="0.25">
      <c r="C279" s="3"/>
      <c r="F279" s="3"/>
      <c r="G279" s="3"/>
    </row>
    <row r="280" spans="3:7" ht="14.85" x14ac:dyDescent="0.25">
      <c r="C280" s="3"/>
      <c r="F280" s="3"/>
      <c r="G280" s="3"/>
    </row>
    <row r="281" spans="3:7" ht="14.85" x14ac:dyDescent="0.25">
      <c r="C281" s="3"/>
      <c r="F281" s="3"/>
      <c r="G281" s="3"/>
    </row>
    <row r="282" spans="3:7" ht="14.85" x14ac:dyDescent="0.25">
      <c r="C282" s="3"/>
      <c r="F282" s="3"/>
      <c r="G282" s="3"/>
    </row>
    <row r="283" spans="3:7" ht="14.85" x14ac:dyDescent="0.25">
      <c r="C283" s="3"/>
      <c r="F283" s="3"/>
      <c r="G283" s="3"/>
    </row>
    <row r="284" spans="3:7" ht="14.85" x14ac:dyDescent="0.25">
      <c r="C284" s="3"/>
      <c r="F284" s="3"/>
      <c r="G284" s="3"/>
    </row>
    <row r="285" spans="3:7" ht="14.85" x14ac:dyDescent="0.25">
      <c r="C285" s="3"/>
      <c r="F285" s="3"/>
      <c r="G285" s="3"/>
    </row>
    <row r="286" spans="3:7" ht="14.85" x14ac:dyDescent="0.25">
      <c r="C286" s="3"/>
      <c r="F286" s="3"/>
      <c r="G286" s="3"/>
    </row>
    <row r="287" spans="3:7" ht="14.85" x14ac:dyDescent="0.25">
      <c r="C287" s="3"/>
      <c r="F287" s="3"/>
      <c r="G287" s="3"/>
    </row>
    <row r="288" spans="3:7" ht="14.85" x14ac:dyDescent="0.25">
      <c r="C288" s="3"/>
      <c r="F288" s="3"/>
      <c r="G288" s="3"/>
    </row>
    <row r="289" spans="3:7" ht="14.85" x14ac:dyDescent="0.25">
      <c r="C289" s="3"/>
      <c r="F289" s="3"/>
      <c r="G289" s="3"/>
    </row>
    <row r="290" spans="3:7" ht="14.85" x14ac:dyDescent="0.25">
      <c r="C290" s="3"/>
      <c r="F290" s="3"/>
      <c r="G290" s="3"/>
    </row>
    <row r="291" spans="3:7" ht="14.85" x14ac:dyDescent="0.25">
      <c r="C291" s="3"/>
      <c r="F291" s="3"/>
      <c r="G291" s="3"/>
    </row>
    <row r="292" spans="3:7" ht="14.85" x14ac:dyDescent="0.25">
      <c r="C292" s="3"/>
      <c r="F292" s="3"/>
      <c r="G292" s="3"/>
    </row>
    <row r="293" spans="3:7" ht="14.85" x14ac:dyDescent="0.25">
      <c r="C293" s="3"/>
      <c r="F293" s="3"/>
      <c r="G293" s="3"/>
    </row>
    <row r="294" spans="3:7" ht="14.85" x14ac:dyDescent="0.25">
      <c r="C294" s="3"/>
      <c r="F294" s="3"/>
      <c r="G294" s="3"/>
    </row>
    <row r="295" spans="3:7" ht="14.85" x14ac:dyDescent="0.25">
      <c r="C295" s="3"/>
      <c r="F295" s="3"/>
      <c r="G295" s="3"/>
    </row>
    <row r="296" spans="3:7" ht="14.85" x14ac:dyDescent="0.25">
      <c r="C296" s="3"/>
      <c r="F296" s="3"/>
      <c r="G296" s="3"/>
    </row>
    <row r="297" spans="3:7" ht="14.85" x14ac:dyDescent="0.25">
      <c r="C297" s="3"/>
      <c r="F297" s="3"/>
      <c r="G297" s="3"/>
    </row>
    <row r="298" spans="3:7" ht="14.85" x14ac:dyDescent="0.25">
      <c r="C298" s="3"/>
      <c r="F298" s="3"/>
      <c r="G298" s="3"/>
    </row>
    <row r="299" spans="3:7" ht="14.85" x14ac:dyDescent="0.25">
      <c r="C299" s="3"/>
      <c r="F299" s="3"/>
      <c r="G299" s="3"/>
    </row>
    <row r="300" spans="3:7" ht="14.85" x14ac:dyDescent="0.25">
      <c r="C300" s="3"/>
      <c r="F300" s="3"/>
      <c r="G300" s="3"/>
    </row>
    <row r="301" spans="3:7" ht="14.85" x14ac:dyDescent="0.25">
      <c r="C301" s="3"/>
      <c r="F301" s="3"/>
      <c r="G301" s="3"/>
    </row>
    <row r="302" spans="3:7" ht="14.85" x14ac:dyDescent="0.25">
      <c r="C302" s="3"/>
      <c r="F302" s="3"/>
      <c r="G302" s="3"/>
    </row>
    <row r="303" spans="3:7" ht="14.85" x14ac:dyDescent="0.25">
      <c r="C303" s="3"/>
      <c r="F303" s="3"/>
      <c r="G303" s="3"/>
    </row>
    <row r="304" spans="3:7" ht="14.85" x14ac:dyDescent="0.25">
      <c r="C304" s="3"/>
      <c r="F304" s="3"/>
      <c r="G304" s="3"/>
    </row>
    <row r="305" spans="3:7" ht="14.85" x14ac:dyDescent="0.25">
      <c r="C305" s="3"/>
      <c r="F305" s="3"/>
      <c r="G305" s="3"/>
    </row>
    <row r="306" spans="3:7" ht="14.85" x14ac:dyDescent="0.25">
      <c r="C306" s="3"/>
      <c r="F306" s="3"/>
      <c r="G306" s="3"/>
    </row>
    <row r="307" spans="3:7" ht="14.85" x14ac:dyDescent="0.25">
      <c r="C307" s="3"/>
      <c r="F307" s="3"/>
      <c r="G307" s="3"/>
    </row>
    <row r="308" spans="3:7" ht="14.85" x14ac:dyDescent="0.25">
      <c r="C308" s="3"/>
      <c r="F308" s="3"/>
      <c r="G308" s="3"/>
    </row>
    <row r="309" spans="3:7" ht="14.85" x14ac:dyDescent="0.25">
      <c r="C309" s="3"/>
      <c r="F309" s="3"/>
      <c r="G309" s="3"/>
    </row>
    <row r="310" spans="3:7" ht="14.85" x14ac:dyDescent="0.25">
      <c r="C310" s="3"/>
      <c r="F310" s="3"/>
      <c r="G310" s="3"/>
    </row>
    <row r="311" spans="3:7" ht="14.85" x14ac:dyDescent="0.25">
      <c r="C311" s="3"/>
      <c r="F311" s="3"/>
      <c r="G311" s="3"/>
    </row>
    <row r="312" spans="3:7" ht="14.85" x14ac:dyDescent="0.25">
      <c r="C312" s="3"/>
      <c r="F312" s="3"/>
      <c r="G312" s="3"/>
    </row>
    <row r="313" spans="3:7" ht="14.85" x14ac:dyDescent="0.25">
      <c r="C313" s="3"/>
      <c r="F313" s="3"/>
      <c r="G313" s="3"/>
    </row>
    <row r="314" spans="3:7" ht="14.85" x14ac:dyDescent="0.25">
      <c r="C314" s="3"/>
      <c r="F314" s="3"/>
      <c r="G314" s="3"/>
    </row>
    <row r="315" spans="3:7" ht="14.85" x14ac:dyDescent="0.25">
      <c r="C315" s="3"/>
      <c r="F315" s="3"/>
      <c r="G315" s="3"/>
    </row>
    <row r="316" spans="3:7" ht="14.85" x14ac:dyDescent="0.25">
      <c r="C316" s="3"/>
      <c r="F316" s="3"/>
      <c r="G316" s="3"/>
    </row>
    <row r="317" spans="3:7" ht="14.85" x14ac:dyDescent="0.25">
      <c r="C317" s="3"/>
      <c r="F317" s="3"/>
      <c r="G317" s="3"/>
    </row>
    <row r="318" spans="3:7" ht="14.85" x14ac:dyDescent="0.25">
      <c r="C318" s="3"/>
      <c r="F318" s="3"/>
      <c r="G318" s="3"/>
    </row>
    <row r="319" spans="3:7" ht="14.85" x14ac:dyDescent="0.25">
      <c r="C319" s="3"/>
      <c r="F319" s="3"/>
      <c r="G319" s="3"/>
    </row>
    <row r="320" spans="3:7" ht="14.85" x14ac:dyDescent="0.25">
      <c r="C320" s="3"/>
      <c r="F320" s="3"/>
      <c r="G320" s="3"/>
    </row>
    <row r="321" spans="3:7" ht="14.85" x14ac:dyDescent="0.25">
      <c r="C321" s="3"/>
      <c r="F321" s="3"/>
      <c r="G321" s="3"/>
    </row>
    <row r="322" spans="3:7" ht="14.85" x14ac:dyDescent="0.25">
      <c r="C322" s="3"/>
      <c r="F322" s="3"/>
      <c r="G322" s="3"/>
    </row>
    <row r="323" spans="3:7" ht="14.85" x14ac:dyDescent="0.25">
      <c r="C323" s="3"/>
      <c r="F323" s="3"/>
      <c r="G323" s="3"/>
    </row>
    <row r="324" spans="3:7" ht="14.85" x14ac:dyDescent="0.25">
      <c r="C324" s="3"/>
      <c r="F324" s="3"/>
      <c r="G324" s="3"/>
    </row>
    <row r="325" spans="3:7" ht="14.85" x14ac:dyDescent="0.25">
      <c r="C325" s="3"/>
      <c r="F325" s="3"/>
      <c r="G325" s="3"/>
    </row>
    <row r="326" spans="3:7" ht="14.85" x14ac:dyDescent="0.25">
      <c r="C326" s="3"/>
      <c r="F326" s="3"/>
      <c r="G326" s="3"/>
    </row>
    <row r="327" spans="3:7" ht="14.85" x14ac:dyDescent="0.25">
      <c r="C327" s="3"/>
      <c r="F327" s="3"/>
      <c r="G327" s="3"/>
    </row>
    <row r="328" spans="3:7" ht="14.85" x14ac:dyDescent="0.25">
      <c r="C328" s="3"/>
      <c r="F328" s="3"/>
      <c r="G328" s="3"/>
    </row>
    <row r="329" spans="3:7" ht="14.85" x14ac:dyDescent="0.25">
      <c r="C329" s="3"/>
      <c r="F329" s="3"/>
      <c r="G329" s="3"/>
    </row>
    <row r="330" spans="3:7" ht="14.85" x14ac:dyDescent="0.25">
      <c r="C330" s="3"/>
      <c r="F330" s="3"/>
      <c r="G330" s="3"/>
    </row>
    <row r="331" spans="3:7" ht="14.85" x14ac:dyDescent="0.25">
      <c r="C331" s="3"/>
      <c r="F331" s="3"/>
      <c r="G331" s="3"/>
    </row>
    <row r="332" spans="3:7" ht="14.85" x14ac:dyDescent="0.25">
      <c r="C332" s="3"/>
      <c r="F332" s="3"/>
      <c r="G332" s="3"/>
    </row>
    <row r="333" spans="3:7" ht="14.85" x14ac:dyDescent="0.25">
      <c r="C333" s="3"/>
      <c r="F333" s="3"/>
      <c r="G333" s="3"/>
    </row>
    <row r="334" spans="3:7" ht="14.85" x14ac:dyDescent="0.25">
      <c r="C334" s="3"/>
      <c r="F334" s="3"/>
      <c r="G334" s="3"/>
    </row>
    <row r="335" spans="3:7" ht="14.85" x14ac:dyDescent="0.25">
      <c r="C335" s="3"/>
      <c r="F335" s="3"/>
      <c r="G335" s="3"/>
    </row>
    <row r="336" spans="3:7" ht="14.85" x14ac:dyDescent="0.25">
      <c r="C336" s="3"/>
      <c r="F336" s="3"/>
      <c r="G336" s="3"/>
    </row>
    <row r="337" spans="3:7" ht="14.85" x14ac:dyDescent="0.25">
      <c r="C337" s="3"/>
      <c r="F337" s="3"/>
      <c r="G337" s="3"/>
    </row>
    <row r="338" spans="3:7" ht="14.85" x14ac:dyDescent="0.25">
      <c r="C338" s="3"/>
      <c r="F338" s="3"/>
      <c r="G338" s="3"/>
    </row>
    <row r="339" spans="3:7" ht="14.85" x14ac:dyDescent="0.25">
      <c r="C339" s="3"/>
      <c r="F339" s="3"/>
      <c r="G339" s="3"/>
    </row>
    <row r="340" spans="3:7" ht="14.85" x14ac:dyDescent="0.25">
      <c r="C340" s="3"/>
      <c r="F340" s="3"/>
      <c r="G340" s="3"/>
    </row>
    <row r="341" spans="3:7" ht="14.85" x14ac:dyDescent="0.25">
      <c r="C341" s="3"/>
      <c r="F341" s="3"/>
      <c r="G341" s="3"/>
    </row>
    <row r="342" spans="3:7" ht="14.85" x14ac:dyDescent="0.25">
      <c r="C342" s="3"/>
      <c r="F342" s="3"/>
      <c r="G342" s="3"/>
    </row>
    <row r="343" spans="3:7" ht="14.85" x14ac:dyDescent="0.25">
      <c r="C343" s="3"/>
      <c r="F343" s="3"/>
      <c r="G343" s="3"/>
    </row>
    <row r="344" spans="3:7" ht="14.85" x14ac:dyDescent="0.25">
      <c r="C344" s="3"/>
      <c r="F344" s="3"/>
      <c r="G344" s="3"/>
    </row>
    <row r="345" spans="3:7" ht="14.85" x14ac:dyDescent="0.25">
      <c r="C345" s="3"/>
      <c r="F345" s="3"/>
      <c r="G345" s="3"/>
    </row>
    <row r="346" spans="3:7" ht="14.85" x14ac:dyDescent="0.25">
      <c r="C346" s="3"/>
      <c r="F346" s="3"/>
      <c r="G346" s="3"/>
    </row>
    <row r="347" spans="3:7" ht="14.85" x14ac:dyDescent="0.25">
      <c r="C347" s="3"/>
      <c r="F347" s="3"/>
      <c r="G347" s="3"/>
    </row>
    <row r="348" spans="3:7" ht="14.85" x14ac:dyDescent="0.25">
      <c r="C348" s="3"/>
      <c r="F348" s="3"/>
      <c r="G348" s="3"/>
    </row>
    <row r="349" spans="3:7" ht="14.85" x14ac:dyDescent="0.25">
      <c r="C349" s="3"/>
      <c r="F349" s="3"/>
      <c r="G349" s="3"/>
    </row>
    <row r="350" spans="3:7" ht="14.85" x14ac:dyDescent="0.25">
      <c r="C350" s="3"/>
      <c r="F350" s="3"/>
      <c r="G350" s="3"/>
    </row>
    <row r="351" spans="3:7" ht="14.85" x14ac:dyDescent="0.25">
      <c r="C351" s="3"/>
      <c r="F351" s="3"/>
      <c r="G351" s="3"/>
    </row>
    <row r="352" spans="3:7" ht="14.85" x14ac:dyDescent="0.25">
      <c r="C352" s="3"/>
      <c r="F352" s="3"/>
      <c r="G352" s="3"/>
    </row>
    <row r="353" spans="3:7" ht="14.85" x14ac:dyDescent="0.25">
      <c r="C353" s="3"/>
      <c r="F353" s="3"/>
      <c r="G353" s="3"/>
    </row>
    <row r="354" spans="3:7" ht="14.85" x14ac:dyDescent="0.25">
      <c r="C354" s="3"/>
      <c r="F354" s="3"/>
      <c r="G354" s="3"/>
    </row>
    <row r="355" spans="3:7" ht="14.85" x14ac:dyDescent="0.25">
      <c r="C355" s="3"/>
      <c r="F355" s="3"/>
      <c r="G355" s="3"/>
    </row>
    <row r="356" spans="3:7" ht="14.85" x14ac:dyDescent="0.25">
      <c r="C356" s="3"/>
      <c r="F356" s="3"/>
      <c r="G356" s="3"/>
    </row>
    <row r="357" spans="3:7" ht="14.85" x14ac:dyDescent="0.25">
      <c r="C357" s="3"/>
      <c r="F357" s="3"/>
      <c r="G357" s="3"/>
    </row>
    <row r="358" spans="3:7" ht="14.85" x14ac:dyDescent="0.25">
      <c r="C358" s="3"/>
      <c r="F358" s="3"/>
      <c r="G358" s="3"/>
    </row>
    <row r="359" spans="3:7" ht="14.85" x14ac:dyDescent="0.25">
      <c r="C359" s="3"/>
      <c r="F359" s="3"/>
      <c r="G359" s="3"/>
    </row>
    <row r="360" spans="3:7" ht="14.85" x14ac:dyDescent="0.25">
      <c r="C360" s="3"/>
      <c r="F360" s="3"/>
      <c r="G360" s="3"/>
    </row>
    <row r="361" spans="3:7" ht="14.85" x14ac:dyDescent="0.25">
      <c r="C361" s="3"/>
      <c r="F361" s="3"/>
      <c r="G361" s="3"/>
    </row>
    <row r="362" spans="3:7" ht="14.85" x14ac:dyDescent="0.25">
      <c r="C362" s="3"/>
      <c r="F362" s="3"/>
      <c r="G362" s="3"/>
    </row>
    <row r="363" spans="3:7" ht="14.85" x14ac:dyDescent="0.25">
      <c r="C363" s="3"/>
      <c r="F363" s="3"/>
      <c r="G363" s="3"/>
    </row>
    <row r="364" spans="3:7" ht="14.85" x14ac:dyDescent="0.25">
      <c r="C364" s="3"/>
      <c r="F364" s="3"/>
      <c r="G364" s="3"/>
    </row>
    <row r="365" spans="3:7" ht="14.85" x14ac:dyDescent="0.25">
      <c r="C365" s="3"/>
      <c r="F365" s="3"/>
      <c r="G365" s="3"/>
    </row>
    <row r="366" spans="3:7" ht="14.85" x14ac:dyDescent="0.25">
      <c r="C366" s="3"/>
      <c r="F366" s="3"/>
      <c r="G366" s="3"/>
    </row>
    <row r="367" spans="3:7" ht="14.85" x14ac:dyDescent="0.25">
      <c r="C367" s="3"/>
      <c r="F367" s="3"/>
      <c r="G367" s="3"/>
    </row>
    <row r="368" spans="3:7" ht="14.85" x14ac:dyDescent="0.25">
      <c r="C368" s="3"/>
      <c r="F368" s="3"/>
      <c r="G368" s="3"/>
    </row>
    <row r="369" spans="3:7" ht="14.85" x14ac:dyDescent="0.25">
      <c r="C369" s="3"/>
      <c r="F369" s="3"/>
      <c r="G369" s="3"/>
    </row>
    <row r="370" spans="3:7" ht="14.85" x14ac:dyDescent="0.25">
      <c r="C370" s="3"/>
      <c r="F370" s="3"/>
      <c r="G370" s="3"/>
    </row>
    <row r="371" spans="3:7" ht="14.85" x14ac:dyDescent="0.25">
      <c r="C371" s="3"/>
      <c r="F371" s="3"/>
      <c r="G371" s="3"/>
    </row>
    <row r="372" spans="3:7" ht="14.85" x14ac:dyDescent="0.25">
      <c r="C372" s="3"/>
      <c r="F372" s="3"/>
      <c r="G372" s="3"/>
    </row>
    <row r="373" spans="3:7" ht="14.85" x14ac:dyDescent="0.25">
      <c r="C373" s="3"/>
      <c r="F373" s="3"/>
      <c r="G373" s="3"/>
    </row>
    <row r="374" spans="3:7" ht="14.85" x14ac:dyDescent="0.25">
      <c r="C374" s="3"/>
      <c r="F374" s="3"/>
      <c r="G374" s="3"/>
    </row>
    <row r="375" spans="3:7" ht="14.85" x14ac:dyDescent="0.25">
      <c r="C375" s="3"/>
      <c r="F375" s="3"/>
      <c r="G375" s="3"/>
    </row>
    <row r="376" spans="3:7" ht="14.85" x14ac:dyDescent="0.25">
      <c r="C376" s="3"/>
      <c r="F376" s="3"/>
      <c r="G376" s="3"/>
    </row>
    <row r="377" spans="3:7" ht="14.85" x14ac:dyDescent="0.25">
      <c r="C377" s="3"/>
      <c r="F377" s="3"/>
      <c r="G377" s="3"/>
    </row>
    <row r="378" spans="3:7" ht="14.85" x14ac:dyDescent="0.25">
      <c r="C378" s="3"/>
      <c r="F378" s="3"/>
      <c r="G378" s="3"/>
    </row>
    <row r="379" spans="3:7" ht="14.85" x14ac:dyDescent="0.25">
      <c r="C379" s="3"/>
      <c r="F379" s="3"/>
      <c r="G379" s="3"/>
    </row>
    <row r="380" spans="3:7" ht="14.85" x14ac:dyDescent="0.25">
      <c r="C380" s="3"/>
      <c r="F380" s="3"/>
      <c r="G380" s="3"/>
    </row>
    <row r="381" spans="3:7" ht="14.85" x14ac:dyDescent="0.25">
      <c r="C381" s="3"/>
      <c r="F381" s="3"/>
      <c r="G381" s="3"/>
    </row>
    <row r="382" spans="3:7" ht="14.85" x14ac:dyDescent="0.25">
      <c r="C382" s="3"/>
      <c r="F382" s="3"/>
      <c r="G382" s="3"/>
    </row>
    <row r="383" spans="3:7" ht="14.85" x14ac:dyDescent="0.25">
      <c r="C383" s="3"/>
      <c r="F383" s="3"/>
      <c r="G383" s="3"/>
    </row>
    <row r="384" spans="3:7" ht="14.85" x14ac:dyDescent="0.25">
      <c r="C384" s="3"/>
      <c r="F384" s="3"/>
      <c r="G384" s="3"/>
    </row>
    <row r="385" spans="3:7" ht="14.85" x14ac:dyDescent="0.25">
      <c r="C385" s="3"/>
      <c r="F385" s="3"/>
      <c r="G385" s="3"/>
    </row>
    <row r="386" spans="3:7" ht="14.85" x14ac:dyDescent="0.25">
      <c r="C386" s="3"/>
      <c r="F386" s="3"/>
      <c r="G386" s="3"/>
    </row>
    <row r="387" spans="3:7" ht="14.85" x14ac:dyDescent="0.25">
      <c r="C387" s="3"/>
      <c r="F387" s="3"/>
      <c r="G387" s="3"/>
    </row>
    <row r="388" spans="3:7" ht="14.85" x14ac:dyDescent="0.25">
      <c r="C388" s="3"/>
      <c r="F388" s="3"/>
      <c r="G388" s="3"/>
    </row>
    <row r="389" spans="3:7" ht="14.85" x14ac:dyDescent="0.25">
      <c r="C389" s="3"/>
      <c r="F389" s="3"/>
      <c r="G389" s="3"/>
    </row>
    <row r="390" spans="3:7" ht="14.85" x14ac:dyDescent="0.25">
      <c r="C390" s="3"/>
      <c r="F390" s="3"/>
      <c r="G390" s="3"/>
    </row>
    <row r="391" spans="3:7" ht="14.85" x14ac:dyDescent="0.25">
      <c r="C391" s="3"/>
      <c r="F391" s="3"/>
      <c r="G391" s="3"/>
    </row>
    <row r="392" spans="3:7" ht="14.85" x14ac:dyDescent="0.25">
      <c r="C392" s="3"/>
      <c r="F392" s="3"/>
      <c r="G392" s="3"/>
    </row>
    <row r="393" spans="3:7" ht="14.85" x14ac:dyDescent="0.25">
      <c r="C393" s="3"/>
      <c r="F393" s="3"/>
      <c r="G393" s="3"/>
    </row>
    <row r="394" spans="3:7" ht="14.85" x14ac:dyDescent="0.25">
      <c r="C394" s="3"/>
      <c r="F394" s="3"/>
      <c r="G394" s="3"/>
    </row>
    <row r="395" spans="3:7" ht="14.85" x14ac:dyDescent="0.25">
      <c r="C395" s="3"/>
      <c r="F395" s="3"/>
      <c r="G395" s="3"/>
    </row>
    <row r="396" spans="3:7" ht="14.85" x14ac:dyDescent="0.25">
      <c r="C396" s="3"/>
      <c r="F396" s="3"/>
      <c r="G396" s="3"/>
    </row>
    <row r="397" spans="3:7" ht="14.85" x14ac:dyDescent="0.25">
      <c r="C397" s="3"/>
      <c r="F397" s="3"/>
      <c r="G397" s="3"/>
    </row>
    <row r="398" spans="3:7" ht="14.85" x14ac:dyDescent="0.25">
      <c r="C398" s="3"/>
      <c r="F398" s="3"/>
      <c r="G398" s="3"/>
    </row>
    <row r="399" spans="3:7" ht="14.85" x14ac:dyDescent="0.25">
      <c r="C399" s="3"/>
      <c r="F399" s="3"/>
      <c r="G399" s="3"/>
    </row>
    <row r="400" spans="3:7" ht="14.85" x14ac:dyDescent="0.25">
      <c r="C400" s="3"/>
      <c r="F400" s="3"/>
      <c r="G400" s="3"/>
    </row>
    <row r="401" spans="3:7" ht="14.85" x14ac:dyDescent="0.25">
      <c r="C401" s="3"/>
      <c r="F401" s="3"/>
      <c r="G401" s="3"/>
    </row>
    <row r="402" spans="3:7" ht="14.85" x14ac:dyDescent="0.25">
      <c r="C402" s="3"/>
      <c r="F402" s="3"/>
      <c r="G402" s="3"/>
    </row>
    <row r="403" spans="3:7" ht="14.85" x14ac:dyDescent="0.25">
      <c r="C403" s="3"/>
      <c r="F403" s="3"/>
      <c r="G403" s="3"/>
    </row>
    <row r="404" spans="3:7" ht="14.85" x14ac:dyDescent="0.25">
      <c r="C404" s="3"/>
      <c r="F404" s="3"/>
      <c r="G404" s="3"/>
    </row>
    <row r="405" spans="3:7" ht="14.85" x14ac:dyDescent="0.25">
      <c r="C405" s="3"/>
      <c r="F405" s="3"/>
      <c r="G405" s="3"/>
    </row>
    <row r="406" spans="3:7" ht="14.85" x14ac:dyDescent="0.25">
      <c r="C406" s="3"/>
      <c r="F406" s="3"/>
      <c r="G406" s="3"/>
    </row>
    <row r="407" spans="3:7" ht="14.85" x14ac:dyDescent="0.25">
      <c r="C407" s="3"/>
      <c r="F407" s="3"/>
      <c r="G407" s="3"/>
    </row>
    <row r="408" spans="3:7" ht="14.85" x14ac:dyDescent="0.25">
      <c r="C408" s="3"/>
      <c r="F408" s="3"/>
      <c r="G408" s="3"/>
    </row>
    <row r="409" spans="3:7" ht="14.85" x14ac:dyDescent="0.25">
      <c r="C409" s="3"/>
      <c r="F409" s="3"/>
      <c r="G409" s="3"/>
    </row>
    <row r="410" spans="3:7" ht="14.85" x14ac:dyDescent="0.25">
      <c r="C410" s="3"/>
      <c r="F410" s="3"/>
      <c r="G410" s="3"/>
    </row>
    <row r="411" spans="3:7" ht="14.85" x14ac:dyDescent="0.25">
      <c r="C411" s="3"/>
      <c r="F411" s="3"/>
      <c r="G411" s="3"/>
    </row>
    <row r="412" spans="3:7" ht="14.85" x14ac:dyDescent="0.25">
      <c r="C412" s="3"/>
      <c r="F412" s="3"/>
      <c r="G412" s="3"/>
    </row>
    <row r="413" spans="3:7" ht="14.85" x14ac:dyDescent="0.25">
      <c r="C413" s="3"/>
      <c r="F413" s="3"/>
      <c r="G413" s="3"/>
    </row>
    <row r="414" spans="3:7" ht="14.85" x14ac:dyDescent="0.25">
      <c r="C414" s="3"/>
      <c r="F414" s="3"/>
      <c r="G414" s="3"/>
    </row>
    <row r="415" spans="3:7" ht="14.85" x14ac:dyDescent="0.25">
      <c r="C415" s="3"/>
      <c r="F415" s="3"/>
      <c r="G415" s="3"/>
    </row>
    <row r="416" spans="3:7" ht="14.85" x14ac:dyDescent="0.25">
      <c r="C416" s="3"/>
      <c r="F416" s="3"/>
      <c r="G416" s="3"/>
    </row>
    <row r="417" spans="3:7" ht="14.85" x14ac:dyDescent="0.25">
      <c r="C417" s="3"/>
      <c r="F417" s="3"/>
      <c r="G417" s="3"/>
    </row>
    <row r="418" spans="3:7" ht="14.85" x14ac:dyDescent="0.25">
      <c r="C418" s="3"/>
      <c r="F418" s="3"/>
      <c r="G418" s="3"/>
    </row>
    <row r="419" spans="3:7" ht="14.85" x14ac:dyDescent="0.25">
      <c r="C419" s="3"/>
      <c r="F419" s="3"/>
      <c r="G419" s="3"/>
    </row>
    <row r="420" spans="3:7" ht="14.85" x14ac:dyDescent="0.25">
      <c r="C420" s="3"/>
      <c r="F420" s="3"/>
      <c r="G420" s="3"/>
    </row>
    <row r="421" spans="3:7" ht="14.85" x14ac:dyDescent="0.25">
      <c r="C421" s="3"/>
      <c r="F421" s="3"/>
      <c r="G421" s="3"/>
    </row>
    <row r="422" spans="3:7" ht="14.85" x14ac:dyDescent="0.25">
      <c r="C422" s="3"/>
      <c r="F422" s="3"/>
      <c r="G422" s="3"/>
    </row>
    <row r="423" spans="3:7" ht="14.85" x14ac:dyDescent="0.25">
      <c r="C423" s="3"/>
      <c r="F423" s="3"/>
      <c r="G423" s="3"/>
    </row>
    <row r="424" spans="3:7" ht="14.85" x14ac:dyDescent="0.25">
      <c r="C424" s="3"/>
      <c r="F424" s="3"/>
      <c r="G424" s="3"/>
    </row>
    <row r="425" spans="3:7" ht="14.85" x14ac:dyDescent="0.25">
      <c r="C425" s="3"/>
      <c r="F425" s="3"/>
      <c r="G425" s="3"/>
    </row>
    <row r="426" spans="3:7" ht="14.85" x14ac:dyDescent="0.25">
      <c r="C426" s="3"/>
      <c r="F426" s="3"/>
      <c r="G426" s="3"/>
    </row>
    <row r="427" spans="3:7" ht="14.85" x14ac:dyDescent="0.25">
      <c r="C427" s="3"/>
      <c r="F427" s="3"/>
      <c r="G427" s="3"/>
    </row>
    <row r="428" spans="3:7" ht="14.85" x14ac:dyDescent="0.25">
      <c r="C428" s="3"/>
      <c r="F428" s="3"/>
      <c r="G428" s="3"/>
    </row>
    <row r="429" spans="3:7" ht="14.85" x14ac:dyDescent="0.25">
      <c r="C429" s="3"/>
      <c r="F429" s="3"/>
      <c r="G429" s="3"/>
    </row>
    <row r="430" spans="3:7" ht="14.85" x14ac:dyDescent="0.25">
      <c r="C430" s="3"/>
      <c r="F430" s="3"/>
      <c r="G430" s="3"/>
    </row>
    <row r="431" spans="3:7" ht="14.85" x14ac:dyDescent="0.25">
      <c r="C431" s="3"/>
      <c r="F431" s="3"/>
      <c r="G431" s="3"/>
    </row>
    <row r="432" spans="3:7" ht="14.85" x14ac:dyDescent="0.25">
      <c r="C432" s="3"/>
      <c r="F432" s="3"/>
      <c r="G432" s="3"/>
    </row>
    <row r="433" spans="3:7" ht="14.85" x14ac:dyDescent="0.25">
      <c r="C433" s="3"/>
      <c r="F433" s="3"/>
      <c r="G433" s="3"/>
    </row>
    <row r="434" spans="3:7" ht="14.85" x14ac:dyDescent="0.25">
      <c r="C434" s="3"/>
      <c r="F434" s="3"/>
      <c r="G434" s="3"/>
    </row>
    <row r="435" spans="3:7" ht="14.85" x14ac:dyDescent="0.25">
      <c r="C435" s="3"/>
      <c r="F435" s="3"/>
      <c r="G435" s="3"/>
    </row>
    <row r="436" spans="3:7" ht="14.85" x14ac:dyDescent="0.25">
      <c r="C436" s="3"/>
      <c r="F436" s="3"/>
      <c r="G436" s="3"/>
    </row>
    <row r="437" spans="3:7" ht="14.85" x14ac:dyDescent="0.25">
      <c r="C437" s="3"/>
      <c r="F437" s="3"/>
      <c r="G437" s="3"/>
    </row>
    <row r="438" spans="3:7" ht="14.85" x14ac:dyDescent="0.25">
      <c r="C438" s="3"/>
      <c r="F438" s="3"/>
      <c r="G438" s="3"/>
    </row>
    <row r="439" spans="3:7" ht="14.85" x14ac:dyDescent="0.25">
      <c r="C439" s="3"/>
      <c r="F439" s="3"/>
      <c r="G439" s="3"/>
    </row>
    <row r="440" spans="3:7" ht="14.85" x14ac:dyDescent="0.25">
      <c r="C440" s="3"/>
      <c r="F440" s="3"/>
      <c r="G440" s="3"/>
    </row>
    <row r="441" spans="3:7" ht="14.85" x14ac:dyDescent="0.25">
      <c r="C441" s="3"/>
      <c r="F441" s="3"/>
      <c r="G441" s="3"/>
    </row>
    <row r="442" spans="3:7" ht="14.85" x14ac:dyDescent="0.25">
      <c r="C442" s="3"/>
      <c r="F442" s="3"/>
      <c r="G442" s="3"/>
    </row>
    <row r="443" spans="3:7" ht="14.85" x14ac:dyDescent="0.25">
      <c r="C443" s="3"/>
      <c r="F443" s="3"/>
      <c r="G443" s="3"/>
    </row>
    <row r="444" spans="3:7" ht="14.85" x14ac:dyDescent="0.25">
      <c r="C444" s="3"/>
      <c r="F444" s="3"/>
      <c r="G444" s="3"/>
    </row>
    <row r="445" spans="3:7" ht="14.85" x14ac:dyDescent="0.25">
      <c r="C445" s="3"/>
      <c r="F445" s="3"/>
      <c r="G445" s="3"/>
    </row>
    <row r="446" spans="3:7" ht="14.85" x14ac:dyDescent="0.25">
      <c r="C446" s="3"/>
      <c r="F446" s="3"/>
      <c r="G446" s="3"/>
    </row>
    <row r="447" spans="3:7" ht="14.85" x14ac:dyDescent="0.25">
      <c r="C447" s="3"/>
      <c r="F447" s="3"/>
      <c r="G447" s="3"/>
    </row>
    <row r="448" spans="3:7" ht="14.85" x14ac:dyDescent="0.25">
      <c r="C448" s="3"/>
      <c r="F448" s="3"/>
      <c r="G448" s="3"/>
    </row>
    <row r="449" spans="3:7" ht="14.85" x14ac:dyDescent="0.25">
      <c r="C449" s="3"/>
      <c r="F449" s="3"/>
      <c r="G449" s="3"/>
    </row>
    <row r="450" spans="3:7" ht="14.85" x14ac:dyDescent="0.25">
      <c r="C450" s="3"/>
      <c r="F450" s="3"/>
      <c r="G450" s="3"/>
    </row>
    <row r="451" spans="3:7" ht="14.85" x14ac:dyDescent="0.25">
      <c r="C451" s="3"/>
      <c r="F451" s="3"/>
      <c r="G451" s="3"/>
    </row>
    <row r="452" spans="3:7" ht="14.85" x14ac:dyDescent="0.25">
      <c r="C452" s="3"/>
      <c r="F452" s="3"/>
      <c r="G452" s="3"/>
    </row>
    <row r="453" spans="3:7" ht="14.85" x14ac:dyDescent="0.25">
      <c r="C453" s="3"/>
      <c r="F453" s="3"/>
      <c r="G453" s="3"/>
    </row>
    <row r="454" spans="3:7" ht="14.85" x14ac:dyDescent="0.25">
      <c r="C454" s="3"/>
      <c r="F454" s="3"/>
      <c r="G454" s="3"/>
    </row>
    <row r="455" spans="3:7" ht="14.85" x14ac:dyDescent="0.25">
      <c r="C455" s="3"/>
      <c r="F455" s="3"/>
      <c r="G455" s="3"/>
    </row>
    <row r="456" spans="3:7" ht="14.85" x14ac:dyDescent="0.25">
      <c r="C456" s="3"/>
      <c r="F456" s="3"/>
      <c r="G456" s="3"/>
    </row>
    <row r="457" spans="3:7" ht="14.85" x14ac:dyDescent="0.25">
      <c r="C457" s="3"/>
      <c r="F457" s="3"/>
      <c r="G457" s="3"/>
    </row>
    <row r="458" spans="3:7" ht="14.85" x14ac:dyDescent="0.25">
      <c r="C458" s="3"/>
      <c r="F458" s="3"/>
      <c r="G458" s="3"/>
    </row>
    <row r="459" spans="3:7" ht="14.85" x14ac:dyDescent="0.25">
      <c r="C459" s="3"/>
      <c r="F459" s="3"/>
      <c r="G459" s="3"/>
    </row>
    <row r="460" spans="3:7" ht="14.85" x14ac:dyDescent="0.25">
      <c r="C460" s="3"/>
      <c r="F460" s="3"/>
      <c r="G460" s="3"/>
    </row>
    <row r="461" spans="3:7" ht="14.85" x14ac:dyDescent="0.25">
      <c r="C461" s="3"/>
      <c r="F461" s="3"/>
      <c r="G461" s="3"/>
    </row>
    <row r="462" spans="3:7" ht="14.85" x14ac:dyDescent="0.25">
      <c r="C462" s="3"/>
      <c r="F462" s="3"/>
      <c r="G462" s="3"/>
    </row>
    <row r="463" spans="3:7" ht="14.85" x14ac:dyDescent="0.25">
      <c r="C463" s="3"/>
      <c r="F463" s="3"/>
      <c r="G463" s="3"/>
    </row>
    <row r="464" spans="3:7" ht="14.85" x14ac:dyDescent="0.25">
      <c r="C464" s="3"/>
      <c r="F464" s="3"/>
      <c r="G464" s="3"/>
    </row>
    <row r="465" spans="3:7" ht="14.85" x14ac:dyDescent="0.25">
      <c r="C465" s="3"/>
      <c r="F465" s="3"/>
      <c r="G465" s="3"/>
    </row>
    <row r="466" spans="3:7" ht="14.85" x14ac:dyDescent="0.25">
      <c r="C466" s="3"/>
      <c r="F466" s="3"/>
      <c r="G466" s="3"/>
    </row>
    <row r="467" spans="3:7" ht="14.85" x14ac:dyDescent="0.25">
      <c r="C467" s="3"/>
      <c r="F467" s="3"/>
      <c r="G467" s="3"/>
    </row>
    <row r="468" spans="3:7" ht="14.85" x14ac:dyDescent="0.25">
      <c r="C468" s="3"/>
      <c r="F468" s="3"/>
      <c r="G468" s="3"/>
    </row>
    <row r="469" spans="3:7" ht="14.85" x14ac:dyDescent="0.25">
      <c r="C469" s="3"/>
      <c r="F469" s="3"/>
      <c r="G469" s="3"/>
    </row>
    <row r="470" spans="3:7" ht="14.85" x14ac:dyDescent="0.25">
      <c r="C470" s="3"/>
      <c r="F470" s="3"/>
      <c r="G470" s="3"/>
    </row>
    <row r="471" spans="3:7" ht="14.85" x14ac:dyDescent="0.25">
      <c r="C471" s="3"/>
      <c r="F471" s="3"/>
      <c r="G471" s="3"/>
    </row>
    <row r="472" spans="3:7" ht="14.85" x14ac:dyDescent="0.25">
      <c r="C472" s="3"/>
      <c r="F472" s="3"/>
      <c r="G472" s="3"/>
    </row>
    <row r="473" spans="3:7" ht="14.85" x14ac:dyDescent="0.25">
      <c r="C473" s="3"/>
      <c r="F473" s="3"/>
      <c r="G473" s="3"/>
    </row>
    <row r="474" spans="3:7" ht="14.85" x14ac:dyDescent="0.25">
      <c r="C474" s="3"/>
      <c r="F474" s="3"/>
      <c r="G474" s="3"/>
    </row>
    <row r="475" spans="3:7" ht="14.85" x14ac:dyDescent="0.25">
      <c r="C475" s="3"/>
      <c r="F475" s="3"/>
      <c r="G475" s="3"/>
    </row>
    <row r="476" spans="3:7" ht="14.85" x14ac:dyDescent="0.25">
      <c r="C476" s="3"/>
      <c r="F476" s="3"/>
      <c r="G476" s="3"/>
    </row>
    <row r="477" spans="3:7" ht="14.85" x14ac:dyDescent="0.25">
      <c r="C477" s="3"/>
      <c r="F477" s="3"/>
      <c r="G477" s="3"/>
    </row>
    <row r="478" spans="3:7" ht="14.85" x14ac:dyDescent="0.25">
      <c r="C478" s="3"/>
      <c r="F478" s="3"/>
      <c r="G478" s="3"/>
    </row>
    <row r="479" spans="3:7" ht="14.85" x14ac:dyDescent="0.25">
      <c r="C479" s="3"/>
      <c r="F479" s="3"/>
      <c r="G479" s="3"/>
    </row>
    <row r="480" spans="3:7" ht="14.85" x14ac:dyDescent="0.25">
      <c r="C480" s="3"/>
      <c r="F480" s="3"/>
      <c r="G480" s="3"/>
    </row>
    <row r="481" spans="3:7" ht="14.85" x14ac:dyDescent="0.25">
      <c r="C481" s="3"/>
      <c r="F481" s="3"/>
      <c r="G481" s="3"/>
    </row>
    <row r="482" spans="3:7" ht="14.85" x14ac:dyDescent="0.25">
      <c r="C482" s="3"/>
      <c r="F482" s="3"/>
      <c r="G482" s="3"/>
    </row>
    <row r="483" spans="3:7" ht="14.85" x14ac:dyDescent="0.25">
      <c r="C483" s="3"/>
      <c r="F483" s="3"/>
      <c r="G483" s="3"/>
    </row>
    <row r="484" spans="3:7" ht="14.85" x14ac:dyDescent="0.25">
      <c r="C484" s="3"/>
      <c r="F484" s="3"/>
      <c r="G484" s="3"/>
    </row>
    <row r="485" spans="3:7" ht="14.85" x14ac:dyDescent="0.25">
      <c r="C485" s="3"/>
      <c r="F485" s="3"/>
      <c r="G485" s="3"/>
    </row>
    <row r="486" spans="3:7" ht="14.85" x14ac:dyDescent="0.25">
      <c r="C486" s="3"/>
      <c r="F486" s="3"/>
      <c r="G486" s="3"/>
    </row>
    <row r="487" spans="3:7" ht="14.85" x14ac:dyDescent="0.25">
      <c r="C487" s="3"/>
      <c r="F487" s="3"/>
      <c r="G487" s="3"/>
    </row>
    <row r="488" spans="3:7" ht="14.85" x14ac:dyDescent="0.25">
      <c r="C488" s="3"/>
      <c r="F488" s="3"/>
      <c r="G488" s="3"/>
    </row>
    <row r="489" spans="3:7" ht="14.85" x14ac:dyDescent="0.25">
      <c r="C489" s="3"/>
      <c r="F489" s="3"/>
      <c r="G489" s="3"/>
    </row>
    <row r="490" spans="3:7" ht="14.85" x14ac:dyDescent="0.25">
      <c r="C490" s="3"/>
      <c r="F490" s="3"/>
      <c r="G490" s="3"/>
    </row>
    <row r="491" spans="3:7" ht="14.85" x14ac:dyDescent="0.25">
      <c r="C491" s="3"/>
      <c r="F491" s="3"/>
      <c r="G491" s="3"/>
    </row>
    <row r="492" spans="3:7" ht="14.85" x14ac:dyDescent="0.25">
      <c r="C492" s="3"/>
      <c r="F492" s="3"/>
      <c r="G492" s="3"/>
    </row>
    <row r="493" spans="3:7" ht="14.85" x14ac:dyDescent="0.25">
      <c r="C493" s="3"/>
      <c r="F493" s="3"/>
      <c r="G493" s="3"/>
    </row>
    <row r="494" spans="3:7" ht="14.85" x14ac:dyDescent="0.25">
      <c r="C494" s="3"/>
      <c r="F494" s="3"/>
      <c r="G494" s="3"/>
    </row>
    <row r="495" spans="3:7" ht="14.85" x14ac:dyDescent="0.25">
      <c r="C495" s="3"/>
      <c r="F495" s="3"/>
      <c r="G495" s="3"/>
    </row>
    <row r="496" spans="3:7" ht="14.85" x14ac:dyDescent="0.25">
      <c r="C496" s="3"/>
      <c r="F496" s="3"/>
      <c r="G496" s="3"/>
    </row>
    <row r="497" spans="3:7" ht="14.85" x14ac:dyDescent="0.25">
      <c r="C497" s="3"/>
      <c r="F497" s="3"/>
      <c r="G497" s="3"/>
    </row>
    <row r="498" spans="3:7" ht="14.85" x14ac:dyDescent="0.25">
      <c r="C498" s="3"/>
      <c r="F498" s="3"/>
      <c r="G498" s="3"/>
    </row>
    <row r="499" spans="3:7" ht="14.85" x14ac:dyDescent="0.25">
      <c r="C499" s="3"/>
      <c r="F499" s="3"/>
      <c r="G499" s="3"/>
    </row>
    <row r="500" spans="3:7" ht="14.85" x14ac:dyDescent="0.25">
      <c r="C500" s="3"/>
      <c r="F500" s="3"/>
      <c r="G500" s="3"/>
    </row>
    <row r="501" spans="3:7" ht="14.85" x14ac:dyDescent="0.25">
      <c r="C501" s="3"/>
      <c r="F501" s="3"/>
      <c r="G501" s="3"/>
    </row>
    <row r="502" spans="3:7" ht="14.85" x14ac:dyDescent="0.25">
      <c r="C502" s="3"/>
      <c r="F502" s="3"/>
      <c r="G502" s="3"/>
    </row>
    <row r="503" spans="3:7" ht="14.85" x14ac:dyDescent="0.25">
      <c r="C503" s="3"/>
      <c r="F503" s="3"/>
      <c r="G503" s="3"/>
    </row>
    <row r="504" spans="3:7" ht="14.85" x14ac:dyDescent="0.25">
      <c r="C504" s="3"/>
      <c r="F504" s="3"/>
      <c r="G504" s="3"/>
    </row>
    <row r="505" spans="3:7" ht="14.85" x14ac:dyDescent="0.25">
      <c r="C505" s="3"/>
      <c r="F505" s="3"/>
      <c r="G505" s="3"/>
    </row>
    <row r="506" spans="3:7" ht="14.85" x14ac:dyDescent="0.25">
      <c r="C506" s="3"/>
      <c r="F506" s="3"/>
      <c r="G506" s="3"/>
    </row>
    <row r="507" spans="3:7" ht="14.85" x14ac:dyDescent="0.25">
      <c r="C507" s="3"/>
      <c r="F507" s="3"/>
      <c r="G507" s="3"/>
    </row>
    <row r="508" spans="3:7" ht="14.85" x14ac:dyDescent="0.25">
      <c r="C508" s="3"/>
      <c r="F508" s="3"/>
      <c r="G508" s="3"/>
    </row>
    <row r="509" spans="3:7" ht="14.85" x14ac:dyDescent="0.25">
      <c r="C509" s="3"/>
      <c r="F509" s="3"/>
      <c r="G509" s="3"/>
    </row>
    <row r="510" spans="3:7" ht="14.85" x14ac:dyDescent="0.25">
      <c r="C510" s="3"/>
      <c r="F510" s="3"/>
      <c r="G510" s="3"/>
    </row>
    <row r="511" spans="3:7" ht="14.85" x14ac:dyDescent="0.25">
      <c r="C511" s="3"/>
      <c r="F511" s="3"/>
      <c r="G511" s="3"/>
    </row>
    <row r="512" spans="3:7" ht="14.85" x14ac:dyDescent="0.25">
      <c r="C512" s="3"/>
      <c r="F512" s="3"/>
      <c r="G512" s="3"/>
    </row>
    <row r="513" spans="3:7" ht="14.85" x14ac:dyDescent="0.25">
      <c r="C513" s="3"/>
      <c r="F513" s="3"/>
      <c r="G513" s="3"/>
    </row>
    <row r="514" spans="3:7" ht="14.85" x14ac:dyDescent="0.25">
      <c r="C514" s="3"/>
      <c r="F514" s="3"/>
      <c r="G514" s="3"/>
    </row>
    <row r="515" spans="3:7" ht="14.85" x14ac:dyDescent="0.25">
      <c r="C515" s="3"/>
      <c r="F515" s="3"/>
      <c r="G515" s="3"/>
    </row>
    <row r="516" spans="3:7" ht="14.85" x14ac:dyDescent="0.25">
      <c r="C516" s="3"/>
      <c r="F516" s="3"/>
      <c r="G516" s="3"/>
    </row>
    <row r="517" spans="3:7" ht="14.85" x14ac:dyDescent="0.25">
      <c r="C517" s="3"/>
      <c r="F517" s="3"/>
      <c r="G517" s="3"/>
    </row>
    <row r="518" spans="3:7" ht="14.85" x14ac:dyDescent="0.25">
      <c r="C518" s="3"/>
      <c r="F518" s="3"/>
      <c r="G518" s="3"/>
    </row>
    <row r="519" spans="3:7" ht="14.85" x14ac:dyDescent="0.25">
      <c r="C519" s="3"/>
      <c r="F519" s="3"/>
      <c r="G519" s="3"/>
    </row>
    <row r="520" spans="3:7" ht="14.85" x14ac:dyDescent="0.25">
      <c r="C520" s="3"/>
      <c r="F520" s="3"/>
      <c r="G520" s="3"/>
    </row>
    <row r="521" spans="3:7" ht="14.85" x14ac:dyDescent="0.25">
      <c r="C521" s="3"/>
      <c r="F521" s="3"/>
      <c r="G521" s="3"/>
    </row>
    <row r="522" spans="3:7" ht="14.85" x14ac:dyDescent="0.25">
      <c r="C522" s="3"/>
      <c r="F522" s="3"/>
      <c r="G522" s="3"/>
    </row>
    <row r="523" spans="3:7" ht="14.85" x14ac:dyDescent="0.25">
      <c r="C523" s="3"/>
      <c r="F523" s="3"/>
      <c r="G523" s="3"/>
    </row>
    <row r="524" spans="3:7" ht="14.85" x14ac:dyDescent="0.25">
      <c r="C524" s="3"/>
      <c r="F524" s="3"/>
      <c r="G524" s="3"/>
    </row>
    <row r="525" spans="3:7" ht="14.85" x14ac:dyDescent="0.25">
      <c r="C525" s="3"/>
      <c r="F525" s="3"/>
      <c r="G525" s="3"/>
    </row>
    <row r="526" spans="3:7" ht="14.85" x14ac:dyDescent="0.25">
      <c r="C526" s="3"/>
      <c r="F526" s="3"/>
      <c r="G526" s="3"/>
    </row>
    <row r="527" spans="3:7" ht="14.85" x14ac:dyDescent="0.25">
      <c r="C527" s="3"/>
      <c r="F527" s="3"/>
      <c r="G527" s="3"/>
    </row>
    <row r="528" spans="3:7" ht="14.85" x14ac:dyDescent="0.25">
      <c r="C528" s="3"/>
      <c r="F528" s="3"/>
      <c r="G528" s="3"/>
    </row>
    <row r="529" spans="3:7" ht="14.85" x14ac:dyDescent="0.25">
      <c r="C529" s="3"/>
      <c r="F529" s="3"/>
      <c r="G529" s="3"/>
    </row>
    <row r="530" spans="3:7" ht="14.85" x14ac:dyDescent="0.25">
      <c r="C530" s="3"/>
      <c r="F530" s="3"/>
      <c r="G530" s="3"/>
    </row>
    <row r="531" spans="3:7" ht="14.85" x14ac:dyDescent="0.25">
      <c r="C531" s="3"/>
      <c r="F531" s="3"/>
      <c r="G531" s="3"/>
    </row>
    <row r="532" spans="3:7" ht="14.85" x14ac:dyDescent="0.25">
      <c r="C532" s="3"/>
      <c r="F532" s="3"/>
      <c r="G532" s="3"/>
    </row>
    <row r="533" spans="3:7" ht="14.85" x14ac:dyDescent="0.25">
      <c r="C533" s="3"/>
      <c r="F533" s="3"/>
      <c r="G533" s="3"/>
    </row>
    <row r="534" spans="3:7" ht="14.85" x14ac:dyDescent="0.25">
      <c r="C534" s="3"/>
      <c r="F534" s="3"/>
      <c r="G534" s="3"/>
    </row>
    <row r="535" spans="3:7" ht="14.85" x14ac:dyDescent="0.25">
      <c r="C535" s="3"/>
      <c r="F535" s="3"/>
      <c r="G535" s="3"/>
    </row>
    <row r="536" spans="3:7" ht="14.85" x14ac:dyDescent="0.25">
      <c r="C536" s="3"/>
      <c r="F536" s="3"/>
      <c r="G536" s="3"/>
    </row>
    <row r="537" spans="3:7" ht="14.85" x14ac:dyDescent="0.25">
      <c r="C537" s="3"/>
      <c r="F537" s="3"/>
      <c r="G537" s="3"/>
    </row>
    <row r="538" spans="3:7" ht="14.85" x14ac:dyDescent="0.25">
      <c r="C538" s="3"/>
      <c r="F538" s="3"/>
      <c r="G538" s="3"/>
    </row>
    <row r="539" spans="3:7" ht="14.85" x14ac:dyDescent="0.25">
      <c r="C539" s="3"/>
      <c r="F539" s="3"/>
      <c r="G539" s="3"/>
    </row>
    <row r="540" spans="3:7" ht="14.85" x14ac:dyDescent="0.25">
      <c r="C540" s="3"/>
      <c r="F540" s="3"/>
      <c r="G540" s="3"/>
    </row>
    <row r="541" spans="3:7" ht="14.85" x14ac:dyDescent="0.25">
      <c r="C541" s="3"/>
      <c r="F541" s="3"/>
      <c r="G541" s="3"/>
    </row>
    <row r="542" spans="3:7" ht="14.85" x14ac:dyDescent="0.25">
      <c r="C542" s="3"/>
      <c r="F542" s="3"/>
      <c r="G542" s="3"/>
    </row>
    <row r="543" spans="3:7" ht="14.85" x14ac:dyDescent="0.25">
      <c r="C543" s="3"/>
      <c r="F543" s="3"/>
      <c r="G543" s="3"/>
    </row>
    <row r="544" spans="3:7" ht="14.85" x14ac:dyDescent="0.25">
      <c r="C544" s="3"/>
      <c r="F544" s="3"/>
      <c r="G544" s="3"/>
    </row>
    <row r="545" spans="3:7" ht="14.85" x14ac:dyDescent="0.25">
      <c r="C545" s="3"/>
      <c r="F545" s="3"/>
      <c r="G545" s="3"/>
    </row>
    <row r="546" spans="3:7" ht="14.85" x14ac:dyDescent="0.25">
      <c r="C546" s="3"/>
      <c r="F546" s="3"/>
      <c r="G546" s="3"/>
    </row>
    <row r="547" spans="3:7" ht="14.85" x14ac:dyDescent="0.25">
      <c r="C547" s="3"/>
      <c r="F547" s="3"/>
      <c r="G547" s="3"/>
    </row>
    <row r="548" spans="3:7" ht="14.85" x14ac:dyDescent="0.25">
      <c r="C548" s="3"/>
      <c r="F548" s="3"/>
      <c r="G548" s="3"/>
    </row>
    <row r="549" spans="3:7" ht="14.85" x14ac:dyDescent="0.25">
      <c r="C549" s="3"/>
      <c r="F549" s="3"/>
      <c r="G549" s="3"/>
    </row>
    <row r="550" spans="3:7" ht="14.85" x14ac:dyDescent="0.25">
      <c r="C550" s="3"/>
      <c r="F550" s="3"/>
      <c r="G550" s="3"/>
    </row>
    <row r="551" spans="3:7" ht="14.85" x14ac:dyDescent="0.25">
      <c r="C551" s="3"/>
      <c r="F551" s="3"/>
      <c r="G551" s="3"/>
    </row>
    <row r="552" spans="3:7" ht="14.85" x14ac:dyDescent="0.25">
      <c r="C552" s="3"/>
      <c r="F552" s="3"/>
      <c r="G552" s="3"/>
    </row>
    <row r="553" spans="3:7" ht="14.85" x14ac:dyDescent="0.25">
      <c r="C553" s="3"/>
      <c r="F553" s="3"/>
      <c r="G553" s="3"/>
    </row>
    <row r="554" spans="3:7" ht="14.85" x14ac:dyDescent="0.25">
      <c r="C554" s="3"/>
      <c r="F554" s="3"/>
      <c r="G554" s="3"/>
    </row>
    <row r="555" spans="3:7" ht="14.85" x14ac:dyDescent="0.25">
      <c r="C555" s="3"/>
      <c r="F555" s="3"/>
      <c r="G555" s="3"/>
    </row>
    <row r="556" spans="3:7" ht="14.85" x14ac:dyDescent="0.25">
      <c r="C556" s="3"/>
      <c r="F556" s="3"/>
      <c r="G556" s="3"/>
    </row>
    <row r="557" spans="3:7" ht="14.85" x14ac:dyDescent="0.25">
      <c r="C557" s="3"/>
      <c r="F557" s="3"/>
      <c r="G557" s="3"/>
    </row>
    <row r="558" spans="3:7" ht="14.85" x14ac:dyDescent="0.25">
      <c r="C558" s="3"/>
      <c r="F558" s="3"/>
      <c r="G558" s="3"/>
    </row>
    <row r="559" spans="3:7" ht="14.85" x14ac:dyDescent="0.25">
      <c r="C559" s="3"/>
      <c r="F559" s="3"/>
      <c r="G559" s="3"/>
    </row>
    <row r="560" spans="3:7" ht="14.85" x14ac:dyDescent="0.25">
      <c r="C560" s="3"/>
      <c r="F560" s="3"/>
      <c r="G560" s="3"/>
    </row>
    <row r="561" spans="3:7" ht="14.85" x14ac:dyDescent="0.25">
      <c r="C561" s="3"/>
      <c r="F561" s="3"/>
      <c r="G561" s="3"/>
    </row>
    <row r="562" spans="3:7" ht="14.85" x14ac:dyDescent="0.25">
      <c r="C562" s="3"/>
      <c r="F562" s="3"/>
      <c r="G562" s="3"/>
    </row>
    <row r="563" spans="3:7" ht="14.85" x14ac:dyDescent="0.25">
      <c r="C563" s="3"/>
      <c r="F563" s="3"/>
      <c r="G563" s="3"/>
    </row>
    <row r="564" spans="3:7" ht="14.85" x14ac:dyDescent="0.25">
      <c r="C564" s="3"/>
      <c r="F564" s="3"/>
      <c r="G564" s="3"/>
    </row>
    <row r="565" spans="3:7" ht="14.85" x14ac:dyDescent="0.25">
      <c r="C565" s="3"/>
      <c r="F565" s="3"/>
      <c r="G565" s="3"/>
    </row>
    <row r="566" spans="3:7" ht="14.85" x14ac:dyDescent="0.25">
      <c r="C566" s="3"/>
      <c r="F566" s="3"/>
      <c r="G566" s="3"/>
    </row>
    <row r="567" spans="3:7" ht="14.85" x14ac:dyDescent="0.25">
      <c r="C567" s="3"/>
      <c r="F567" s="3"/>
      <c r="G567" s="3"/>
    </row>
    <row r="568" spans="3:7" ht="14.85" x14ac:dyDescent="0.25">
      <c r="C568" s="3"/>
      <c r="F568" s="3"/>
      <c r="G568" s="3"/>
    </row>
    <row r="569" spans="3:7" ht="14.85" x14ac:dyDescent="0.25">
      <c r="C569" s="3"/>
      <c r="F569" s="3"/>
      <c r="G569" s="3"/>
    </row>
    <row r="570" spans="3:7" ht="14.85" x14ac:dyDescent="0.25">
      <c r="C570" s="3"/>
      <c r="F570" s="3"/>
      <c r="G570" s="3"/>
    </row>
    <row r="571" spans="3:7" ht="14.85" x14ac:dyDescent="0.25">
      <c r="C571" s="3"/>
      <c r="F571" s="3"/>
      <c r="G571" s="3"/>
    </row>
    <row r="572" spans="3:7" ht="14.85" x14ac:dyDescent="0.25">
      <c r="C572" s="3"/>
      <c r="F572" s="3"/>
      <c r="G572" s="3"/>
    </row>
    <row r="573" spans="3:7" ht="14.85" x14ac:dyDescent="0.25">
      <c r="C573" s="3"/>
      <c r="F573" s="3"/>
      <c r="G573" s="3"/>
    </row>
    <row r="574" spans="3:7" ht="14.85" x14ac:dyDescent="0.25">
      <c r="C574" s="3"/>
      <c r="F574" s="3"/>
      <c r="G574" s="3"/>
    </row>
    <row r="575" spans="3:7" ht="14.85" x14ac:dyDescent="0.25">
      <c r="C575" s="3"/>
      <c r="F575" s="3"/>
      <c r="G575" s="3"/>
    </row>
    <row r="576" spans="3:7" ht="14.85" x14ac:dyDescent="0.25">
      <c r="C576" s="3"/>
      <c r="F576" s="3"/>
      <c r="G576" s="3"/>
    </row>
    <row r="577" spans="3:7" ht="14.85" x14ac:dyDescent="0.25">
      <c r="C577" s="3"/>
      <c r="F577" s="3"/>
      <c r="G577" s="3"/>
    </row>
    <row r="578" spans="3:7" ht="14.85" x14ac:dyDescent="0.25">
      <c r="C578" s="3"/>
      <c r="F578" s="3"/>
      <c r="G578" s="3"/>
    </row>
    <row r="579" spans="3:7" ht="14.85" x14ac:dyDescent="0.25">
      <c r="C579" s="3"/>
      <c r="F579" s="3"/>
      <c r="G579" s="3"/>
    </row>
    <row r="580" spans="3:7" ht="14.85" x14ac:dyDescent="0.25">
      <c r="C580" s="3"/>
      <c r="F580" s="3"/>
      <c r="G580" s="3"/>
    </row>
    <row r="581" spans="3:7" ht="14.85" x14ac:dyDescent="0.25">
      <c r="C581" s="3"/>
      <c r="F581" s="3"/>
      <c r="G581" s="3"/>
    </row>
    <row r="582" spans="3:7" ht="14.85" x14ac:dyDescent="0.25">
      <c r="C582" s="3"/>
      <c r="F582" s="3"/>
      <c r="G582" s="3"/>
    </row>
    <row r="583" spans="3:7" ht="14.85" x14ac:dyDescent="0.25">
      <c r="C583" s="3"/>
      <c r="F583" s="3"/>
      <c r="G583" s="3"/>
    </row>
    <row r="584" spans="3:7" ht="14.85" x14ac:dyDescent="0.25">
      <c r="C584" s="3"/>
      <c r="F584" s="3"/>
      <c r="G584" s="3"/>
    </row>
    <row r="585" spans="3:7" ht="14.85" x14ac:dyDescent="0.25">
      <c r="C585" s="3"/>
      <c r="F585" s="3"/>
      <c r="G585" s="3"/>
    </row>
    <row r="586" spans="3:7" ht="14.85" x14ac:dyDescent="0.25">
      <c r="C586" s="3"/>
      <c r="F586" s="3"/>
      <c r="G586" s="3"/>
    </row>
    <row r="587" spans="3:7" ht="14.85" x14ac:dyDescent="0.25">
      <c r="C587" s="3"/>
      <c r="F587" s="3"/>
      <c r="G587" s="3"/>
    </row>
    <row r="588" spans="3:7" ht="14.85" x14ac:dyDescent="0.25">
      <c r="C588" s="3"/>
      <c r="F588" s="3"/>
      <c r="G588" s="3"/>
    </row>
    <row r="589" spans="3:7" ht="14.85" x14ac:dyDescent="0.25">
      <c r="C589" s="3"/>
      <c r="F589" s="3"/>
      <c r="G589" s="3"/>
    </row>
    <row r="590" spans="3:7" ht="14.85" x14ac:dyDescent="0.25">
      <c r="C590" s="3"/>
      <c r="F590" s="3"/>
      <c r="G590" s="3"/>
    </row>
    <row r="591" spans="3:7" ht="14.85" x14ac:dyDescent="0.25">
      <c r="C591" s="3"/>
      <c r="F591" s="3"/>
      <c r="G591" s="3"/>
    </row>
    <row r="592" spans="3:7" ht="14.85" x14ac:dyDescent="0.25">
      <c r="C592" s="3"/>
      <c r="F592" s="3"/>
      <c r="G592" s="3"/>
    </row>
    <row r="593" spans="3:7" ht="14.85" x14ac:dyDescent="0.25">
      <c r="C593" s="3"/>
      <c r="F593" s="3"/>
      <c r="G593" s="3"/>
    </row>
    <row r="594" spans="3:7" ht="14.85" x14ac:dyDescent="0.25">
      <c r="C594" s="3"/>
      <c r="F594" s="3"/>
      <c r="G594" s="3"/>
    </row>
    <row r="595" spans="3:7" ht="14.85" x14ac:dyDescent="0.25">
      <c r="C595" s="3"/>
      <c r="F595" s="3"/>
      <c r="G595" s="3"/>
    </row>
    <row r="596" spans="3:7" ht="14.85" x14ac:dyDescent="0.25">
      <c r="C596" s="3"/>
      <c r="F596" s="3"/>
      <c r="G596" s="3"/>
    </row>
    <row r="597" spans="3:7" ht="14.85" x14ac:dyDescent="0.25">
      <c r="C597" s="3"/>
      <c r="F597" s="3"/>
      <c r="G597" s="3"/>
    </row>
    <row r="598" spans="3:7" ht="14.85" x14ac:dyDescent="0.25">
      <c r="C598" s="3"/>
      <c r="F598" s="3"/>
      <c r="G598" s="3"/>
    </row>
    <row r="599" spans="3:7" ht="14.85" x14ac:dyDescent="0.25">
      <c r="C599" s="3"/>
      <c r="F599" s="3"/>
      <c r="G599" s="3"/>
    </row>
    <row r="600" spans="3:7" ht="14.85" x14ac:dyDescent="0.25">
      <c r="C600" s="3"/>
      <c r="F600" s="3"/>
      <c r="G600" s="3"/>
    </row>
    <row r="601" spans="3:7" ht="14.85" x14ac:dyDescent="0.25">
      <c r="C601" s="3"/>
      <c r="F601" s="3"/>
      <c r="G601" s="3"/>
    </row>
    <row r="602" spans="3:7" ht="14.85" x14ac:dyDescent="0.25">
      <c r="C602" s="3"/>
      <c r="F602" s="3"/>
      <c r="G602" s="3"/>
    </row>
    <row r="603" spans="3:7" ht="14.85" x14ac:dyDescent="0.25">
      <c r="C603" s="3"/>
      <c r="F603" s="3"/>
      <c r="G603" s="3"/>
    </row>
    <row r="604" spans="3:7" ht="14.85" x14ac:dyDescent="0.25">
      <c r="C604" s="3"/>
      <c r="F604" s="3"/>
      <c r="G604" s="3"/>
    </row>
    <row r="605" spans="3:7" ht="14.85" x14ac:dyDescent="0.25">
      <c r="C605" s="3"/>
      <c r="F605" s="3"/>
      <c r="G605" s="3"/>
    </row>
    <row r="606" spans="3:7" ht="14.85" x14ac:dyDescent="0.25">
      <c r="C606" s="3"/>
      <c r="F606" s="3"/>
      <c r="G606" s="3"/>
    </row>
    <row r="607" spans="3:7" ht="14.85" x14ac:dyDescent="0.25">
      <c r="C607" s="3"/>
      <c r="F607" s="3"/>
      <c r="G607" s="3"/>
    </row>
    <row r="608" spans="3:7" ht="14.85" x14ac:dyDescent="0.25">
      <c r="C608" s="3"/>
      <c r="F608" s="3"/>
      <c r="G608" s="3"/>
    </row>
    <row r="609" spans="3:7" ht="14.85" x14ac:dyDescent="0.25">
      <c r="C609" s="3"/>
      <c r="F609" s="3"/>
      <c r="G609" s="3"/>
    </row>
    <row r="610" spans="3:7" ht="14.85" x14ac:dyDescent="0.25">
      <c r="C610" s="3"/>
      <c r="F610" s="3"/>
      <c r="G610" s="3"/>
    </row>
    <row r="611" spans="3:7" ht="14.85" x14ac:dyDescent="0.25">
      <c r="C611" s="3"/>
      <c r="F611" s="3"/>
      <c r="G611" s="3"/>
    </row>
    <row r="612" spans="3:7" ht="14.85" x14ac:dyDescent="0.25">
      <c r="C612" s="3"/>
      <c r="F612" s="3"/>
      <c r="G612" s="3"/>
    </row>
    <row r="613" spans="3:7" ht="14.85" x14ac:dyDescent="0.25">
      <c r="C613" s="3"/>
      <c r="F613" s="3"/>
      <c r="G613" s="3"/>
    </row>
    <row r="614" spans="3:7" ht="14.85" x14ac:dyDescent="0.25">
      <c r="C614" s="3"/>
      <c r="F614" s="3"/>
      <c r="G614" s="3"/>
    </row>
    <row r="615" spans="3:7" ht="14.85" x14ac:dyDescent="0.25">
      <c r="C615" s="3"/>
      <c r="F615" s="3"/>
      <c r="G615" s="3"/>
    </row>
    <row r="616" spans="3:7" ht="14.85" x14ac:dyDescent="0.25">
      <c r="C616" s="3"/>
      <c r="F616" s="3"/>
      <c r="G616" s="3"/>
    </row>
    <row r="617" spans="3:7" ht="14.85" x14ac:dyDescent="0.25">
      <c r="C617" s="3"/>
      <c r="F617" s="3"/>
      <c r="G617" s="3"/>
    </row>
    <row r="618" spans="3:7" ht="14.85" x14ac:dyDescent="0.25">
      <c r="C618" s="3"/>
      <c r="F618" s="3"/>
      <c r="G618" s="3"/>
    </row>
    <row r="619" spans="3:7" ht="14.85" x14ac:dyDescent="0.25">
      <c r="C619" s="3"/>
      <c r="F619" s="3"/>
      <c r="G619" s="3"/>
    </row>
    <row r="620" spans="3:7" ht="14.85" x14ac:dyDescent="0.25">
      <c r="C620" s="3"/>
      <c r="F620" s="3"/>
      <c r="G620" s="3"/>
    </row>
    <row r="621" spans="3:7" ht="14.85" x14ac:dyDescent="0.25">
      <c r="C621" s="3"/>
      <c r="F621" s="3"/>
      <c r="G621" s="3"/>
    </row>
    <row r="622" spans="3:7" ht="14.85" x14ac:dyDescent="0.25">
      <c r="C622" s="3"/>
      <c r="F622" s="3"/>
      <c r="G622" s="3"/>
    </row>
    <row r="623" spans="3:7" ht="14.85" x14ac:dyDescent="0.25">
      <c r="C623" s="3"/>
      <c r="F623" s="3"/>
      <c r="G623" s="3"/>
    </row>
    <row r="624" spans="3:7" ht="14.85" x14ac:dyDescent="0.25">
      <c r="C624" s="3"/>
      <c r="F624" s="3"/>
      <c r="G624" s="3"/>
    </row>
    <row r="625" spans="3:7" ht="14.85" x14ac:dyDescent="0.25">
      <c r="C625" s="3"/>
      <c r="F625" s="3"/>
      <c r="G625" s="3"/>
    </row>
    <row r="626" spans="3:7" ht="14.85" x14ac:dyDescent="0.25">
      <c r="C626" s="3"/>
      <c r="F626" s="3"/>
      <c r="G626" s="3"/>
    </row>
    <row r="627" spans="3:7" ht="14.85" x14ac:dyDescent="0.25">
      <c r="C627" s="3"/>
      <c r="F627" s="3"/>
      <c r="G627" s="3"/>
    </row>
    <row r="628" spans="3:7" ht="14.85" x14ac:dyDescent="0.25">
      <c r="C628" s="3"/>
      <c r="F628" s="3"/>
      <c r="G628" s="3"/>
    </row>
    <row r="629" spans="3:7" ht="14.85" x14ac:dyDescent="0.25">
      <c r="C629" s="3"/>
      <c r="F629" s="3"/>
      <c r="G629" s="3"/>
    </row>
    <row r="630" spans="3:7" ht="14.85" x14ac:dyDescent="0.25">
      <c r="C630" s="3"/>
      <c r="F630" s="3"/>
      <c r="G630" s="3"/>
    </row>
    <row r="631" spans="3:7" ht="14.85" x14ac:dyDescent="0.25">
      <c r="C631" s="3"/>
      <c r="F631" s="3"/>
      <c r="G631" s="3"/>
    </row>
    <row r="632" spans="3:7" ht="14.85" x14ac:dyDescent="0.25">
      <c r="C632" s="3"/>
      <c r="F632" s="3"/>
      <c r="G632" s="3"/>
    </row>
    <row r="633" spans="3:7" ht="14.85" x14ac:dyDescent="0.25">
      <c r="C633" s="3"/>
      <c r="F633" s="3"/>
      <c r="G633" s="3"/>
    </row>
    <row r="634" spans="3:7" ht="14.85" x14ac:dyDescent="0.25">
      <c r="C634" s="3"/>
      <c r="F634" s="3"/>
      <c r="G634" s="3"/>
    </row>
    <row r="635" spans="3:7" ht="14.85" x14ac:dyDescent="0.25">
      <c r="C635" s="3"/>
      <c r="F635" s="3"/>
      <c r="G635" s="3"/>
    </row>
    <row r="636" spans="3:7" ht="14.85" x14ac:dyDescent="0.25">
      <c r="C636" s="3"/>
      <c r="F636" s="3"/>
      <c r="G636" s="3"/>
    </row>
    <row r="637" spans="3:7" ht="14.85" x14ac:dyDescent="0.25">
      <c r="C637" s="3"/>
      <c r="F637" s="3"/>
      <c r="G637" s="3"/>
    </row>
    <row r="638" spans="3:7" ht="14.85" x14ac:dyDescent="0.25">
      <c r="C638" s="3"/>
      <c r="F638" s="3"/>
      <c r="G638" s="3"/>
    </row>
    <row r="639" spans="3:7" ht="14.85" x14ac:dyDescent="0.25">
      <c r="C639" s="3"/>
      <c r="F639" s="3"/>
      <c r="G639" s="3"/>
    </row>
    <row r="640" spans="3:7" ht="14.85" x14ac:dyDescent="0.25">
      <c r="C640" s="3"/>
      <c r="F640" s="3"/>
      <c r="G640" s="3"/>
    </row>
    <row r="641" spans="3:7" ht="14.85" x14ac:dyDescent="0.25">
      <c r="C641" s="3"/>
      <c r="F641" s="3"/>
      <c r="G641" s="3"/>
    </row>
    <row r="642" spans="3:7" ht="14.85" x14ac:dyDescent="0.25">
      <c r="C642" s="3"/>
      <c r="F642" s="3"/>
      <c r="G642" s="3"/>
    </row>
    <row r="643" spans="3:7" ht="14.85" x14ac:dyDescent="0.25">
      <c r="C643" s="3"/>
      <c r="F643" s="3"/>
      <c r="G643" s="3"/>
    </row>
    <row r="644" spans="3:7" ht="14.85" x14ac:dyDescent="0.25">
      <c r="C644" s="3"/>
      <c r="F644" s="3"/>
      <c r="G644" s="3"/>
    </row>
    <row r="645" spans="3:7" ht="14.85" x14ac:dyDescent="0.25">
      <c r="C645" s="3"/>
      <c r="F645" s="3"/>
      <c r="G645" s="3"/>
    </row>
    <row r="646" spans="3:7" ht="14.85" x14ac:dyDescent="0.25">
      <c r="C646" s="3"/>
      <c r="F646" s="3"/>
      <c r="G646" s="3"/>
    </row>
    <row r="647" spans="3:7" ht="14.85" x14ac:dyDescent="0.25">
      <c r="C647" s="3"/>
      <c r="F647" s="3"/>
      <c r="G647" s="3"/>
    </row>
    <row r="648" spans="3:7" ht="14.85" x14ac:dyDescent="0.25">
      <c r="C648" s="3"/>
      <c r="F648" s="3"/>
      <c r="G648" s="3"/>
    </row>
    <row r="649" spans="3:7" ht="14.85" x14ac:dyDescent="0.25">
      <c r="C649" s="3"/>
      <c r="F649" s="3"/>
      <c r="G649" s="3"/>
    </row>
    <row r="650" spans="3:7" ht="14.85" x14ac:dyDescent="0.25">
      <c r="C650" s="3"/>
      <c r="F650" s="3"/>
      <c r="G650" s="3"/>
    </row>
    <row r="651" spans="3:7" ht="14.85" x14ac:dyDescent="0.25">
      <c r="C651" s="3"/>
      <c r="F651" s="3"/>
      <c r="G651" s="3"/>
    </row>
    <row r="652" spans="3:7" ht="14.85" x14ac:dyDescent="0.25">
      <c r="C652" s="3"/>
      <c r="F652" s="3"/>
      <c r="G652" s="3"/>
    </row>
    <row r="653" spans="3:7" ht="14.85" x14ac:dyDescent="0.25">
      <c r="C653" s="3"/>
      <c r="F653" s="3"/>
      <c r="G653" s="3"/>
    </row>
    <row r="654" spans="3:7" ht="14.85" x14ac:dyDescent="0.25">
      <c r="C654" s="3"/>
      <c r="F654" s="3"/>
      <c r="G654" s="3"/>
    </row>
    <row r="655" spans="3:7" ht="14.85" x14ac:dyDescent="0.25">
      <c r="C655" s="3"/>
      <c r="F655" s="3"/>
      <c r="G655" s="3"/>
    </row>
    <row r="656" spans="3:7" ht="14.85" x14ac:dyDescent="0.25">
      <c r="C656" s="3"/>
      <c r="F656" s="3"/>
      <c r="G656" s="3"/>
    </row>
    <row r="657" spans="3:7" ht="14.85" x14ac:dyDescent="0.25">
      <c r="C657" s="3"/>
      <c r="F657" s="3"/>
      <c r="G657" s="3"/>
    </row>
    <row r="658" spans="3:7" ht="14.85" x14ac:dyDescent="0.25">
      <c r="C658" s="3"/>
      <c r="F658" s="3"/>
      <c r="G658" s="3"/>
    </row>
    <row r="659" spans="3:7" ht="14.85" x14ac:dyDescent="0.25">
      <c r="C659" s="3"/>
      <c r="F659" s="3"/>
      <c r="G659" s="3"/>
    </row>
    <row r="660" spans="3:7" ht="14.85" x14ac:dyDescent="0.25">
      <c r="C660" s="3"/>
      <c r="F660" s="3"/>
      <c r="G660" s="3"/>
    </row>
    <row r="661" spans="3:7" ht="14.85" x14ac:dyDescent="0.25">
      <c r="C661" s="3"/>
      <c r="F661" s="3"/>
      <c r="G661" s="3"/>
    </row>
    <row r="662" spans="3:7" ht="14.85" x14ac:dyDescent="0.25">
      <c r="C662" s="3"/>
      <c r="F662" s="3"/>
      <c r="G662" s="3"/>
    </row>
    <row r="663" spans="3:7" ht="14.85" x14ac:dyDescent="0.25">
      <c r="C663" s="3"/>
      <c r="F663" s="3"/>
      <c r="G663" s="3"/>
    </row>
    <row r="664" spans="3:7" ht="14.85" x14ac:dyDescent="0.25">
      <c r="C664" s="3"/>
      <c r="F664" s="3"/>
      <c r="G664" s="3"/>
    </row>
    <row r="665" spans="3:7" ht="14.85" x14ac:dyDescent="0.25">
      <c r="C665" s="3"/>
      <c r="F665" s="3"/>
      <c r="G665" s="3"/>
    </row>
    <row r="666" spans="3:7" ht="14.85" x14ac:dyDescent="0.25">
      <c r="C666" s="3"/>
      <c r="F666" s="3"/>
      <c r="G666" s="3"/>
    </row>
    <row r="667" spans="3:7" ht="14.85" x14ac:dyDescent="0.25">
      <c r="C667" s="3"/>
      <c r="F667" s="3"/>
      <c r="G667" s="3"/>
    </row>
    <row r="668" spans="3:7" ht="14.85" x14ac:dyDescent="0.25">
      <c r="C668" s="3"/>
      <c r="F668" s="3"/>
      <c r="G668" s="3"/>
    </row>
    <row r="669" spans="3:7" ht="14.85" x14ac:dyDescent="0.25">
      <c r="C669" s="3"/>
      <c r="F669" s="3"/>
      <c r="G669" s="3"/>
    </row>
    <row r="670" spans="3:7" ht="14.85" x14ac:dyDescent="0.25">
      <c r="C670" s="3"/>
      <c r="F670" s="3"/>
      <c r="G670" s="3"/>
    </row>
    <row r="671" spans="3:7" ht="14.85" x14ac:dyDescent="0.25">
      <c r="C671" s="3"/>
      <c r="F671" s="3"/>
      <c r="G671" s="3"/>
    </row>
    <row r="672" spans="3:7" ht="14.85" x14ac:dyDescent="0.25">
      <c r="C672" s="3"/>
      <c r="F672" s="3"/>
      <c r="G672" s="3"/>
    </row>
    <row r="673" spans="3:7" ht="14.85" x14ac:dyDescent="0.25">
      <c r="C673" s="3"/>
      <c r="F673" s="3"/>
      <c r="G673" s="3"/>
    </row>
    <row r="674" spans="3:7" ht="14.85" x14ac:dyDescent="0.25">
      <c r="C674" s="3"/>
      <c r="F674" s="3"/>
      <c r="G674" s="3"/>
    </row>
    <row r="675" spans="3:7" ht="14.85" x14ac:dyDescent="0.25">
      <c r="C675" s="3"/>
      <c r="F675" s="3"/>
      <c r="G675" s="3"/>
    </row>
    <row r="676" spans="3:7" ht="14.85" x14ac:dyDescent="0.25">
      <c r="C676" s="3"/>
      <c r="F676" s="3"/>
      <c r="G676" s="3"/>
    </row>
    <row r="677" spans="3:7" ht="14.85" x14ac:dyDescent="0.25">
      <c r="C677" s="3"/>
      <c r="F677" s="3"/>
      <c r="G677" s="3"/>
    </row>
    <row r="678" spans="3:7" ht="14.85" x14ac:dyDescent="0.25">
      <c r="C678" s="3"/>
      <c r="F678" s="3"/>
      <c r="G678" s="3"/>
    </row>
    <row r="679" spans="3:7" ht="14.85" x14ac:dyDescent="0.25">
      <c r="C679" s="3"/>
      <c r="F679" s="3"/>
      <c r="G679" s="3"/>
    </row>
    <row r="680" spans="3:7" ht="14.85" x14ac:dyDescent="0.25">
      <c r="C680" s="3"/>
      <c r="F680" s="3"/>
      <c r="G680" s="3"/>
    </row>
    <row r="681" spans="3:7" ht="14.85" x14ac:dyDescent="0.25">
      <c r="C681" s="3"/>
      <c r="F681" s="3"/>
      <c r="G681" s="3"/>
    </row>
    <row r="682" spans="3:7" ht="14.85" x14ac:dyDescent="0.25">
      <c r="C682" s="3"/>
      <c r="F682" s="3"/>
      <c r="G682" s="3"/>
    </row>
    <row r="683" spans="3:7" ht="14.85" x14ac:dyDescent="0.25">
      <c r="C683" s="3"/>
      <c r="F683" s="3"/>
      <c r="G683" s="3"/>
    </row>
    <row r="684" spans="3:7" ht="14.85" x14ac:dyDescent="0.25">
      <c r="C684" s="3"/>
      <c r="F684" s="3"/>
      <c r="G684" s="3"/>
    </row>
    <row r="685" spans="3:7" ht="14.85" x14ac:dyDescent="0.25">
      <c r="C685" s="3"/>
      <c r="F685" s="3"/>
      <c r="G685" s="3"/>
    </row>
    <row r="686" spans="3:7" ht="14.85" x14ac:dyDescent="0.25">
      <c r="C686" s="3"/>
      <c r="F686" s="3"/>
      <c r="G686" s="3"/>
    </row>
    <row r="687" spans="3:7" ht="14.85" x14ac:dyDescent="0.25">
      <c r="C687" s="3"/>
      <c r="F687" s="3"/>
      <c r="G687" s="3"/>
    </row>
    <row r="688" spans="3:7" ht="14.85" x14ac:dyDescent="0.25">
      <c r="C688" s="3"/>
      <c r="F688" s="3"/>
      <c r="G688" s="3"/>
    </row>
    <row r="689" spans="3:7" ht="14.85" x14ac:dyDescent="0.25">
      <c r="C689" s="3"/>
      <c r="F689" s="3"/>
      <c r="G689" s="3"/>
    </row>
    <row r="690" spans="3:7" ht="14.85" x14ac:dyDescent="0.25">
      <c r="C690" s="3"/>
      <c r="F690" s="3"/>
      <c r="G690" s="3"/>
    </row>
    <row r="691" spans="3:7" ht="14.85" x14ac:dyDescent="0.25">
      <c r="C691" s="3"/>
      <c r="F691" s="3"/>
      <c r="G691" s="3"/>
    </row>
    <row r="692" spans="3:7" ht="14.85" x14ac:dyDescent="0.25">
      <c r="C692" s="3"/>
      <c r="F692" s="3"/>
      <c r="G692" s="3"/>
    </row>
    <row r="693" spans="3:7" ht="14.85" x14ac:dyDescent="0.25">
      <c r="C693" s="3"/>
      <c r="F693" s="3"/>
      <c r="G693" s="3"/>
    </row>
    <row r="694" spans="3:7" ht="14.85" x14ac:dyDescent="0.25">
      <c r="C694" s="3"/>
      <c r="F694" s="3"/>
      <c r="G694" s="3"/>
    </row>
    <row r="695" spans="3:7" ht="14.85" x14ac:dyDescent="0.25">
      <c r="C695" s="3"/>
      <c r="F695" s="3"/>
      <c r="G695" s="3"/>
    </row>
    <row r="696" spans="3:7" ht="14.85" x14ac:dyDescent="0.25">
      <c r="C696" s="3"/>
      <c r="F696" s="3"/>
      <c r="G696" s="3"/>
    </row>
    <row r="697" spans="3:7" ht="14.85" x14ac:dyDescent="0.25">
      <c r="C697" s="3"/>
      <c r="F697" s="3"/>
      <c r="G697" s="3"/>
    </row>
    <row r="698" spans="3:7" ht="14.85" x14ac:dyDescent="0.25">
      <c r="C698" s="3"/>
      <c r="F698" s="3"/>
      <c r="G698" s="3"/>
    </row>
    <row r="699" spans="3:7" ht="14.85" x14ac:dyDescent="0.25">
      <c r="C699" s="3"/>
      <c r="F699" s="3"/>
      <c r="G699" s="3"/>
    </row>
    <row r="700" spans="3:7" ht="14.85" x14ac:dyDescent="0.25">
      <c r="C700" s="3"/>
      <c r="F700" s="3"/>
      <c r="G700" s="3"/>
    </row>
    <row r="701" spans="3:7" ht="14.85" x14ac:dyDescent="0.25">
      <c r="C701" s="3"/>
      <c r="F701" s="3"/>
      <c r="G701" s="3"/>
    </row>
    <row r="702" spans="3:7" ht="14.85" x14ac:dyDescent="0.25">
      <c r="C702" s="3"/>
      <c r="F702" s="3"/>
      <c r="G702" s="3"/>
    </row>
    <row r="703" spans="3:7" ht="14.85" x14ac:dyDescent="0.25">
      <c r="C703" s="3"/>
      <c r="F703" s="3"/>
      <c r="G703" s="3"/>
    </row>
    <row r="704" spans="3:7" ht="14.85" x14ac:dyDescent="0.25">
      <c r="C704" s="3"/>
      <c r="F704" s="3"/>
      <c r="G704" s="3"/>
    </row>
    <row r="705" spans="3:7" ht="14.85" x14ac:dyDescent="0.25">
      <c r="C705" s="3"/>
      <c r="F705" s="3"/>
      <c r="G705" s="3"/>
    </row>
    <row r="706" spans="3:7" ht="14.85" x14ac:dyDescent="0.25">
      <c r="C706" s="3"/>
      <c r="F706" s="3"/>
      <c r="G706" s="3"/>
    </row>
    <row r="707" spans="3:7" ht="14.85" x14ac:dyDescent="0.25">
      <c r="C707" s="3"/>
      <c r="F707" s="3"/>
      <c r="G707" s="3"/>
    </row>
    <row r="708" spans="3:7" ht="14.85" x14ac:dyDescent="0.25">
      <c r="C708" s="3"/>
      <c r="F708" s="3"/>
      <c r="G708" s="3"/>
    </row>
    <row r="709" spans="3:7" ht="14.85" x14ac:dyDescent="0.25">
      <c r="C709" s="3"/>
      <c r="F709" s="3"/>
      <c r="G709" s="3"/>
    </row>
    <row r="710" spans="3:7" ht="14.85" x14ac:dyDescent="0.25">
      <c r="C710" s="3"/>
      <c r="F710" s="3"/>
      <c r="G710" s="3"/>
    </row>
    <row r="711" spans="3:7" ht="14.85" x14ac:dyDescent="0.25">
      <c r="C711" s="3"/>
      <c r="F711" s="3"/>
      <c r="G711" s="3"/>
    </row>
    <row r="712" spans="3:7" ht="14.85" x14ac:dyDescent="0.25">
      <c r="C712" s="3"/>
      <c r="F712" s="3"/>
      <c r="G712" s="3"/>
    </row>
    <row r="713" spans="3:7" ht="14.85" x14ac:dyDescent="0.25">
      <c r="C713" s="3"/>
      <c r="F713" s="3"/>
      <c r="G713" s="3"/>
    </row>
    <row r="714" spans="3:7" ht="14.85" x14ac:dyDescent="0.25">
      <c r="C714" s="3"/>
      <c r="F714" s="3"/>
      <c r="G714" s="3"/>
    </row>
    <row r="715" spans="3:7" ht="14.85" x14ac:dyDescent="0.25">
      <c r="C715" s="3"/>
      <c r="F715" s="3"/>
      <c r="G715" s="3"/>
    </row>
    <row r="716" spans="3:7" ht="14.85" x14ac:dyDescent="0.25">
      <c r="C716" s="3"/>
      <c r="F716" s="3"/>
      <c r="G716" s="3"/>
    </row>
    <row r="717" spans="3:7" ht="14.85" x14ac:dyDescent="0.25">
      <c r="C717" s="3"/>
      <c r="F717" s="3"/>
      <c r="G717" s="3"/>
    </row>
    <row r="718" spans="3:7" ht="14.85" x14ac:dyDescent="0.25">
      <c r="C718" s="3"/>
      <c r="F718" s="3"/>
      <c r="G718" s="3"/>
    </row>
    <row r="719" spans="3:7" ht="14.85" x14ac:dyDescent="0.25">
      <c r="C719" s="3"/>
      <c r="F719" s="3"/>
      <c r="G719" s="3"/>
    </row>
    <row r="720" spans="3:7" ht="14.85" x14ac:dyDescent="0.25">
      <c r="C720" s="3"/>
      <c r="F720" s="3"/>
      <c r="G720" s="3"/>
    </row>
    <row r="721" spans="3:7" ht="14.85" x14ac:dyDescent="0.25">
      <c r="C721" s="3"/>
      <c r="F721" s="3"/>
      <c r="G721" s="3"/>
    </row>
    <row r="722" spans="3:7" ht="14.85" x14ac:dyDescent="0.25">
      <c r="C722" s="3"/>
      <c r="F722" s="3"/>
      <c r="G722" s="3"/>
    </row>
    <row r="723" spans="3:7" ht="14.85" x14ac:dyDescent="0.25">
      <c r="C723" s="3"/>
      <c r="F723" s="3"/>
      <c r="G723" s="3"/>
    </row>
    <row r="724" spans="3:7" ht="14.85" x14ac:dyDescent="0.25">
      <c r="C724" s="3"/>
      <c r="F724" s="3"/>
      <c r="G724" s="3"/>
    </row>
    <row r="725" spans="3:7" ht="14.85" x14ac:dyDescent="0.25">
      <c r="C725" s="3"/>
      <c r="F725" s="3"/>
      <c r="G725" s="3"/>
    </row>
    <row r="726" spans="3:7" ht="14.85" x14ac:dyDescent="0.25">
      <c r="C726" s="3"/>
      <c r="F726" s="3"/>
      <c r="G726" s="3"/>
    </row>
    <row r="727" spans="3:7" ht="14.85" x14ac:dyDescent="0.25">
      <c r="C727" s="3"/>
      <c r="F727" s="3"/>
      <c r="G727" s="3"/>
    </row>
    <row r="728" spans="3:7" ht="14.85" x14ac:dyDescent="0.25">
      <c r="C728" s="3"/>
      <c r="F728" s="3"/>
      <c r="G728" s="3"/>
    </row>
    <row r="729" spans="3:7" ht="14.85" x14ac:dyDescent="0.25">
      <c r="C729" s="3"/>
      <c r="F729" s="3"/>
      <c r="G729" s="3"/>
    </row>
    <row r="730" spans="3:7" ht="14.85" x14ac:dyDescent="0.25">
      <c r="C730" s="3"/>
      <c r="F730" s="3"/>
      <c r="G730" s="3"/>
    </row>
    <row r="731" spans="3:7" ht="14.85" x14ac:dyDescent="0.25">
      <c r="C731" s="3"/>
      <c r="F731" s="3"/>
      <c r="G731" s="3"/>
    </row>
    <row r="732" spans="3:7" ht="14.85" x14ac:dyDescent="0.25">
      <c r="C732" s="3"/>
      <c r="F732" s="3"/>
      <c r="G732" s="3"/>
    </row>
    <row r="733" spans="3:7" ht="14.85" x14ac:dyDescent="0.25">
      <c r="C733" s="3"/>
      <c r="F733" s="3"/>
      <c r="G733" s="3"/>
    </row>
    <row r="734" spans="3:7" ht="14.85" x14ac:dyDescent="0.25">
      <c r="C734" s="3"/>
      <c r="F734" s="3"/>
      <c r="G734" s="3"/>
    </row>
    <row r="735" spans="3:7" ht="14.85" x14ac:dyDescent="0.25">
      <c r="C735" s="3"/>
      <c r="F735" s="3"/>
      <c r="G735" s="3"/>
    </row>
    <row r="736" spans="3:7" ht="14.85" x14ac:dyDescent="0.25">
      <c r="C736" s="3"/>
      <c r="F736" s="3"/>
      <c r="G736" s="3"/>
    </row>
    <row r="737" spans="3:7" ht="14.85" x14ac:dyDescent="0.25">
      <c r="C737" s="3"/>
      <c r="F737" s="3"/>
      <c r="G737" s="3"/>
    </row>
    <row r="738" spans="3:7" ht="14.85" x14ac:dyDescent="0.25">
      <c r="C738" s="3"/>
      <c r="F738" s="3"/>
      <c r="G738" s="3"/>
    </row>
    <row r="739" spans="3:7" ht="14.85" x14ac:dyDescent="0.25">
      <c r="C739" s="3"/>
      <c r="F739" s="3"/>
      <c r="G739" s="3"/>
    </row>
    <row r="740" spans="3:7" ht="14.85" x14ac:dyDescent="0.25">
      <c r="C740" s="3"/>
      <c r="F740" s="3"/>
      <c r="G740" s="3"/>
    </row>
    <row r="741" spans="3:7" ht="14.85" x14ac:dyDescent="0.25">
      <c r="C741" s="3"/>
      <c r="F741" s="3"/>
      <c r="G741" s="3"/>
    </row>
    <row r="742" spans="3:7" ht="14.85" x14ac:dyDescent="0.25">
      <c r="C742" s="3"/>
      <c r="F742" s="3"/>
      <c r="G742" s="3"/>
    </row>
    <row r="743" spans="3:7" ht="14.85" x14ac:dyDescent="0.25">
      <c r="C743" s="3"/>
      <c r="F743" s="3"/>
      <c r="G743" s="3"/>
    </row>
    <row r="744" spans="3:7" ht="14.85" x14ac:dyDescent="0.25">
      <c r="C744" s="3"/>
      <c r="F744" s="3"/>
      <c r="G744" s="3"/>
    </row>
    <row r="745" spans="3:7" ht="14.85" x14ac:dyDescent="0.25">
      <c r="C745" s="3"/>
      <c r="F745" s="3"/>
      <c r="G745" s="3"/>
    </row>
    <row r="746" spans="3:7" ht="14.85" x14ac:dyDescent="0.25">
      <c r="C746" s="3"/>
      <c r="F746" s="3"/>
      <c r="G746" s="3"/>
    </row>
    <row r="747" spans="3:7" ht="14.85" x14ac:dyDescent="0.25">
      <c r="C747" s="3"/>
      <c r="F747" s="3"/>
      <c r="G747" s="3"/>
    </row>
    <row r="748" spans="3:7" ht="14.85" x14ac:dyDescent="0.25">
      <c r="C748" s="3"/>
      <c r="F748" s="3"/>
      <c r="G748" s="3"/>
    </row>
    <row r="749" spans="3:7" ht="14.85" x14ac:dyDescent="0.25">
      <c r="C749" s="3"/>
      <c r="F749" s="3"/>
      <c r="G749" s="3"/>
    </row>
    <row r="750" spans="3:7" ht="14.85" x14ac:dyDescent="0.25">
      <c r="C750" s="3"/>
      <c r="F750" s="3"/>
      <c r="G750" s="3"/>
    </row>
    <row r="751" spans="3:7" ht="14.85" x14ac:dyDescent="0.25">
      <c r="C751" s="3"/>
      <c r="F751" s="3"/>
      <c r="G751" s="3"/>
    </row>
    <row r="752" spans="3:7" ht="14.85" x14ac:dyDescent="0.25">
      <c r="C752" s="3"/>
      <c r="F752" s="3"/>
      <c r="G752" s="3"/>
    </row>
    <row r="753" spans="3:7" ht="14.85" x14ac:dyDescent="0.25">
      <c r="C753" s="3"/>
      <c r="F753" s="3"/>
      <c r="G753" s="3"/>
    </row>
    <row r="754" spans="3:7" ht="14.85" x14ac:dyDescent="0.25">
      <c r="C754" s="3"/>
      <c r="F754" s="3"/>
      <c r="G754" s="3"/>
    </row>
    <row r="755" spans="3:7" ht="14.85" x14ac:dyDescent="0.25">
      <c r="C755" s="3"/>
      <c r="F755" s="3"/>
      <c r="G755" s="3"/>
    </row>
    <row r="756" spans="3:7" ht="14.85" x14ac:dyDescent="0.25">
      <c r="C756" s="3"/>
      <c r="F756" s="3"/>
      <c r="G756" s="3"/>
    </row>
    <row r="757" spans="3:7" ht="14.85" x14ac:dyDescent="0.25">
      <c r="C757" s="3"/>
      <c r="F757" s="3"/>
      <c r="G757" s="3"/>
    </row>
    <row r="758" spans="3:7" ht="14.85" x14ac:dyDescent="0.25">
      <c r="C758" s="3"/>
      <c r="F758" s="3"/>
      <c r="G758" s="3"/>
    </row>
    <row r="759" spans="3:7" ht="14.85" x14ac:dyDescent="0.25">
      <c r="C759" s="3"/>
      <c r="F759" s="3"/>
      <c r="G759" s="3"/>
    </row>
    <row r="760" spans="3:7" ht="14.85" x14ac:dyDescent="0.25">
      <c r="C760" s="3"/>
      <c r="F760" s="3"/>
      <c r="G760" s="3"/>
    </row>
    <row r="761" spans="3:7" ht="14.85" x14ac:dyDescent="0.25">
      <c r="C761" s="3"/>
      <c r="F761" s="3"/>
      <c r="G761" s="3"/>
    </row>
    <row r="762" spans="3:7" ht="14.85" x14ac:dyDescent="0.25">
      <c r="C762" s="3"/>
      <c r="F762" s="3"/>
      <c r="G762" s="3"/>
    </row>
    <row r="763" spans="3:7" ht="14.85" x14ac:dyDescent="0.25">
      <c r="C763" s="3"/>
      <c r="F763" s="3"/>
      <c r="G763" s="3"/>
    </row>
    <row r="764" spans="3:7" ht="14.85" x14ac:dyDescent="0.25">
      <c r="C764" s="3"/>
      <c r="F764" s="3"/>
      <c r="G764" s="3"/>
    </row>
    <row r="765" spans="3:7" ht="14.85" x14ac:dyDescent="0.25">
      <c r="C765" s="3"/>
      <c r="F765" s="3"/>
      <c r="G765" s="3"/>
    </row>
    <row r="766" spans="3:7" ht="14.85" x14ac:dyDescent="0.25">
      <c r="C766" s="3"/>
      <c r="F766" s="3"/>
      <c r="G766" s="3"/>
    </row>
    <row r="767" spans="3:7" ht="14.85" x14ac:dyDescent="0.25">
      <c r="C767" s="3"/>
      <c r="F767" s="3"/>
      <c r="G767" s="3"/>
    </row>
    <row r="768" spans="3:7" ht="14.85" x14ac:dyDescent="0.25">
      <c r="C768" s="3"/>
      <c r="F768" s="3"/>
      <c r="G768" s="3"/>
    </row>
    <row r="769" spans="3:7" ht="14.85" x14ac:dyDescent="0.25">
      <c r="C769" s="3"/>
      <c r="F769" s="3"/>
      <c r="G769" s="3"/>
    </row>
    <row r="770" spans="3:7" ht="14.85" x14ac:dyDescent="0.25">
      <c r="C770" s="3"/>
      <c r="F770" s="3"/>
      <c r="G770" s="3"/>
    </row>
    <row r="771" spans="3:7" ht="14.85" x14ac:dyDescent="0.25">
      <c r="C771" s="3"/>
      <c r="F771" s="3"/>
      <c r="G771" s="3"/>
    </row>
    <row r="772" spans="3:7" ht="14.85" x14ac:dyDescent="0.25">
      <c r="C772" s="3"/>
      <c r="F772" s="3"/>
      <c r="G772" s="3"/>
    </row>
    <row r="773" spans="3:7" ht="14.85" x14ac:dyDescent="0.25">
      <c r="C773" s="3"/>
      <c r="F773" s="3"/>
      <c r="G773" s="3"/>
    </row>
    <row r="774" spans="3:7" ht="14.85" x14ac:dyDescent="0.25">
      <c r="C774" s="3"/>
      <c r="F774" s="3"/>
      <c r="G774" s="3"/>
    </row>
    <row r="775" spans="3:7" ht="14.85" x14ac:dyDescent="0.25">
      <c r="C775" s="3"/>
      <c r="F775" s="3"/>
      <c r="G775" s="3"/>
    </row>
    <row r="776" spans="3:7" ht="14.85" x14ac:dyDescent="0.25">
      <c r="C776" s="3"/>
      <c r="F776" s="3"/>
      <c r="G776" s="3"/>
    </row>
    <row r="777" spans="3:7" ht="14.85" x14ac:dyDescent="0.25">
      <c r="C777" s="3"/>
      <c r="F777" s="3"/>
      <c r="G777" s="3"/>
    </row>
    <row r="778" spans="3:7" ht="14.85" x14ac:dyDescent="0.25">
      <c r="C778" s="3"/>
      <c r="F778" s="3"/>
      <c r="G778" s="3"/>
    </row>
    <row r="779" spans="3:7" ht="14.85" x14ac:dyDescent="0.25">
      <c r="C779" s="3"/>
      <c r="F779" s="3"/>
      <c r="G779" s="3"/>
    </row>
    <row r="780" spans="3:7" ht="14.85" x14ac:dyDescent="0.25">
      <c r="C780" s="3"/>
      <c r="F780" s="3"/>
      <c r="G780" s="3"/>
    </row>
    <row r="781" spans="3:7" ht="14.85" x14ac:dyDescent="0.25">
      <c r="C781" s="3"/>
      <c r="F781" s="3"/>
      <c r="G781" s="3"/>
    </row>
    <row r="782" spans="3:7" ht="14.85" x14ac:dyDescent="0.25">
      <c r="C782" s="3"/>
      <c r="F782" s="3"/>
      <c r="G782" s="3"/>
    </row>
    <row r="783" spans="3:7" ht="14.85" x14ac:dyDescent="0.25">
      <c r="C783" s="3"/>
      <c r="F783" s="3"/>
      <c r="G783" s="3"/>
    </row>
    <row r="784" spans="3:7" ht="14.85" x14ac:dyDescent="0.25">
      <c r="C784" s="3"/>
      <c r="F784" s="3"/>
      <c r="G784" s="3"/>
    </row>
    <row r="785" spans="3:7" ht="14.85" x14ac:dyDescent="0.25">
      <c r="C785" s="3"/>
      <c r="F785" s="3"/>
      <c r="G785" s="3"/>
    </row>
    <row r="786" spans="3:7" ht="14.85" x14ac:dyDescent="0.25">
      <c r="C786" s="3"/>
      <c r="F786" s="3"/>
      <c r="G786" s="3"/>
    </row>
    <row r="787" spans="3:7" ht="14.85" x14ac:dyDescent="0.25">
      <c r="C787" s="3"/>
      <c r="F787" s="3"/>
      <c r="G787" s="3"/>
    </row>
    <row r="788" spans="3:7" ht="14.85" x14ac:dyDescent="0.25">
      <c r="C788" s="3"/>
      <c r="F788" s="3"/>
      <c r="G788" s="3"/>
    </row>
    <row r="789" spans="3:7" ht="14.85" x14ac:dyDescent="0.25">
      <c r="C789" s="3"/>
      <c r="F789" s="3"/>
      <c r="G789" s="3"/>
    </row>
    <row r="790" spans="3:7" ht="14.85" x14ac:dyDescent="0.25">
      <c r="C790" s="3"/>
      <c r="F790" s="3"/>
      <c r="G790" s="3"/>
    </row>
    <row r="791" spans="3:7" ht="14.85" x14ac:dyDescent="0.25">
      <c r="C791" s="3"/>
      <c r="F791" s="3"/>
      <c r="G791" s="3"/>
    </row>
    <row r="792" spans="3:7" ht="14.85" x14ac:dyDescent="0.25">
      <c r="C792" s="3"/>
      <c r="F792" s="3"/>
      <c r="G792" s="3"/>
    </row>
    <row r="793" spans="3:7" ht="14.85" x14ac:dyDescent="0.25">
      <c r="C793" s="3"/>
      <c r="F793" s="3"/>
      <c r="G793" s="3"/>
    </row>
    <row r="794" spans="3:7" ht="14.85" x14ac:dyDescent="0.25">
      <c r="C794" s="3"/>
      <c r="F794" s="3"/>
      <c r="G794" s="3"/>
    </row>
    <row r="795" spans="3:7" ht="14.85" x14ac:dyDescent="0.25">
      <c r="C795" s="3"/>
      <c r="F795" s="3"/>
      <c r="G795" s="3"/>
    </row>
    <row r="796" spans="3:7" ht="14.85" x14ac:dyDescent="0.25">
      <c r="C796" s="3"/>
      <c r="F796" s="3"/>
      <c r="G796" s="3"/>
    </row>
    <row r="797" spans="3:7" ht="14.85" x14ac:dyDescent="0.25">
      <c r="C797" s="3"/>
      <c r="F797" s="3"/>
      <c r="G797" s="3"/>
    </row>
    <row r="798" spans="3:7" ht="14.85" x14ac:dyDescent="0.25">
      <c r="C798" s="3"/>
      <c r="F798" s="3"/>
      <c r="G798" s="3"/>
    </row>
    <row r="799" spans="3:7" ht="14.85" x14ac:dyDescent="0.25">
      <c r="C799" s="3"/>
      <c r="F799" s="3"/>
      <c r="G799" s="3"/>
    </row>
    <row r="800" spans="3:7" ht="14.85" x14ac:dyDescent="0.25">
      <c r="C800" s="3"/>
      <c r="F800" s="3"/>
      <c r="G800" s="3"/>
    </row>
    <row r="801" spans="3:7" ht="14.85" x14ac:dyDescent="0.25">
      <c r="C801" s="3"/>
      <c r="F801" s="3"/>
      <c r="G801" s="3"/>
    </row>
    <row r="802" spans="3:7" ht="14.85" x14ac:dyDescent="0.25">
      <c r="C802" s="3"/>
      <c r="F802" s="3"/>
      <c r="G802" s="3"/>
    </row>
    <row r="803" spans="3:7" ht="14.85" x14ac:dyDescent="0.25">
      <c r="C803" s="3"/>
      <c r="F803" s="3"/>
      <c r="G803" s="3"/>
    </row>
    <row r="804" spans="3:7" ht="14.85" x14ac:dyDescent="0.25">
      <c r="C804" s="3"/>
      <c r="F804" s="3"/>
      <c r="G804" s="3"/>
    </row>
    <row r="805" spans="3:7" ht="14.85" x14ac:dyDescent="0.25">
      <c r="C805" s="3"/>
      <c r="F805" s="3"/>
      <c r="G805" s="3"/>
    </row>
    <row r="806" spans="3:7" ht="14.85" x14ac:dyDescent="0.25">
      <c r="C806" s="3"/>
      <c r="F806" s="3"/>
      <c r="G806" s="3"/>
    </row>
    <row r="807" spans="3:7" ht="14.85" x14ac:dyDescent="0.25">
      <c r="C807" s="3"/>
      <c r="F807" s="3"/>
      <c r="G807" s="3"/>
    </row>
    <row r="808" spans="3:7" ht="14.85" x14ac:dyDescent="0.25">
      <c r="C808" s="3"/>
      <c r="F808" s="3"/>
      <c r="G808" s="3"/>
    </row>
    <row r="809" spans="3:7" ht="14.85" x14ac:dyDescent="0.25">
      <c r="C809" s="3"/>
      <c r="F809" s="3"/>
      <c r="G809" s="3"/>
    </row>
    <row r="810" spans="3:7" ht="14.85" x14ac:dyDescent="0.25">
      <c r="C810" s="3"/>
      <c r="F810" s="3"/>
      <c r="G810" s="3"/>
    </row>
    <row r="811" spans="3:7" ht="14.85" x14ac:dyDescent="0.25">
      <c r="C811" s="3"/>
      <c r="F811" s="3"/>
      <c r="G811" s="3"/>
    </row>
    <row r="812" spans="3:7" ht="14.85" x14ac:dyDescent="0.25">
      <c r="C812" s="3"/>
      <c r="F812" s="3"/>
      <c r="G812" s="3"/>
    </row>
    <row r="813" spans="3:7" ht="14.85" x14ac:dyDescent="0.25">
      <c r="C813" s="3"/>
      <c r="F813" s="3"/>
      <c r="G813" s="3"/>
    </row>
    <row r="814" spans="3:7" ht="14.85" x14ac:dyDescent="0.25">
      <c r="C814" s="3"/>
      <c r="F814" s="3"/>
      <c r="G814" s="3"/>
    </row>
    <row r="815" spans="3:7" ht="14.85" x14ac:dyDescent="0.25">
      <c r="C815" s="3"/>
      <c r="F815" s="3"/>
      <c r="G815" s="3"/>
    </row>
    <row r="816" spans="3:7" ht="14.85" x14ac:dyDescent="0.25">
      <c r="C816" s="3"/>
      <c r="F816" s="3"/>
      <c r="G816" s="3"/>
    </row>
    <row r="817" spans="3:7" ht="14.85" x14ac:dyDescent="0.25">
      <c r="C817" s="3"/>
      <c r="F817" s="3"/>
      <c r="G817" s="3"/>
    </row>
    <row r="818" spans="3:7" ht="14.85" x14ac:dyDescent="0.25">
      <c r="C818" s="3"/>
      <c r="F818" s="3"/>
      <c r="G818" s="3"/>
    </row>
    <row r="819" spans="3:7" ht="14.85" x14ac:dyDescent="0.25">
      <c r="C819" s="3"/>
      <c r="F819" s="3"/>
      <c r="G819" s="3"/>
    </row>
    <row r="820" spans="3:7" ht="14.85" x14ac:dyDescent="0.25">
      <c r="C820" s="3"/>
      <c r="F820" s="3"/>
      <c r="G820" s="3"/>
    </row>
    <row r="821" spans="3:7" ht="14.85" x14ac:dyDescent="0.25">
      <c r="C821" s="3"/>
      <c r="F821" s="3"/>
      <c r="G821" s="3"/>
    </row>
    <row r="822" spans="3:7" ht="14.85" x14ac:dyDescent="0.25">
      <c r="C822" s="3"/>
      <c r="F822" s="3"/>
      <c r="G822" s="3"/>
    </row>
    <row r="823" spans="3:7" ht="14.85" x14ac:dyDescent="0.25">
      <c r="C823" s="3"/>
      <c r="F823" s="3"/>
      <c r="G823" s="3"/>
    </row>
    <row r="824" spans="3:7" ht="14.85" x14ac:dyDescent="0.25">
      <c r="C824" s="3"/>
      <c r="F824" s="3"/>
      <c r="G824" s="3"/>
    </row>
    <row r="825" spans="3:7" ht="14.85" x14ac:dyDescent="0.25">
      <c r="C825" s="3"/>
      <c r="F825" s="3"/>
      <c r="G825" s="3"/>
    </row>
    <row r="826" spans="3:7" ht="14.85" x14ac:dyDescent="0.25">
      <c r="C826" s="3"/>
      <c r="F826" s="3"/>
      <c r="G826" s="3"/>
    </row>
    <row r="827" spans="3:7" ht="14.85" x14ac:dyDescent="0.25">
      <c r="C827" s="3"/>
      <c r="F827" s="3"/>
      <c r="G827" s="3"/>
    </row>
    <row r="828" spans="3:7" ht="14.85" x14ac:dyDescent="0.25">
      <c r="C828" s="3"/>
      <c r="F828" s="3"/>
      <c r="G828" s="3"/>
    </row>
    <row r="829" spans="3:7" ht="14.85" x14ac:dyDescent="0.25">
      <c r="C829" s="3"/>
      <c r="F829" s="3"/>
      <c r="G829" s="3"/>
    </row>
    <row r="830" spans="3:7" ht="14.85" x14ac:dyDescent="0.25">
      <c r="C830" s="3"/>
      <c r="F830" s="3"/>
      <c r="G830" s="3"/>
    </row>
    <row r="831" spans="3:7" ht="14.85" x14ac:dyDescent="0.25">
      <c r="C831" s="3"/>
      <c r="F831" s="3"/>
      <c r="G831" s="3"/>
    </row>
    <row r="832" spans="3:7" ht="14.85" x14ac:dyDescent="0.25">
      <c r="C832" s="3"/>
      <c r="F832" s="3"/>
      <c r="G832" s="3"/>
    </row>
    <row r="833" spans="3:7" ht="14.85" x14ac:dyDescent="0.25">
      <c r="C833" s="3"/>
      <c r="F833" s="3"/>
      <c r="G833" s="3"/>
    </row>
    <row r="834" spans="3:7" ht="14.85" x14ac:dyDescent="0.25">
      <c r="C834" s="3"/>
      <c r="F834" s="3"/>
      <c r="G834" s="3"/>
    </row>
    <row r="835" spans="3:7" ht="14.85" x14ac:dyDescent="0.25">
      <c r="C835" s="3"/>
      <c r="F835" s="3"/>
      <c r="G835" s="3"/>
    </row>
    <row r="836" spans="3:7" ht="14.85" x14ac:dyDescent="0.25">
      <c r="C836" s="3"/>
      <c r="F836" s="3"/>
      <c r="G836" s="3"/>
    </row>
    <row r="837" spans="3:7" ht="14.85" x14ac:dyDescent="0.25">
      <c r="C837" s="3"/>
      <c r="F837" s="3"/>
      <c r="G837" s="3"/>
    </row>
    <row r="838" spans="3:7" ht="14.85" x14ac:dyDescent="0.25">
      <c r="C838" s="3"/>
      <c r="F838" s="3"/>
      <c r="G838" s="3"/>
    </row>
    <row r="839" spans="3:7" ht="14.85" x14ac:dyDescent="0.25">
      <c r="C839" s="3"/>
      <c r="F839" s="3"/>
      <c r="G839" s="3"/>
    </row>
    <row r="840" spans="3:7" ht="14.85" x14ac:dyDescent="0.25">
      <c r="C840" s="3"/>
      <c r="F840" s="3"/>
      <c r="G840" s="3"/>
    </row>
    <row r="841" spans="3:7" ht="14.85" x14ac:dyDescent="0.25">
      <c r="C841" s="3"/>
      <c r="F841" s="3"/>
      <c r="G841" s="3"/>
    </row>
    <row r="842" spans="3:7" ht="14.85" x14ac:dyDescent="0.25">
      <c r="C842" s="3"/>
      <c r="F842" s="3"/>
      <c r="G842" s="3"/>
    </row>
    <row r="843" spans="3:7" ht="14.85" x14ac:dyDescent="0.25">
      <c r="C843" s="3"/>
      <c r="F843" s="3"/>
      <c r="G843" s="3"/>
    </row>
    <row r="844" spans="3:7" ht="14.85" x14ac:dyDescent="0.25">
      <c r="C844" s="3"/>
      <c r="F844" s="3"/>
      <c r="G844" s="3"/>
    </row>
    <row r="845" spans="3:7" ht="14.85" x14ac:dyDescent="0.25">
      <c r="C845" s="3"/>
      <c r="F845" s="3"/>
      <c r="G845" s="3"/>
    </row>
    <row r="846" spans="3:7" ht="14.85" x14ac:dyDescent="0.25">
      <c r="C846" s="3"/>
      <c r="F846" s="3"/>
      <c r="G846" s="3"/>
    </row>
    <row r="847" spans="3:7" ht="14.85" x14ac:dyDescent="0.25">
      <c r="C847" s="3"/>
      <c r="F847" s="3"/>
      <c r="G847" s="3"/>
    </row>
    <row r="848" spans="3:7" ht="14.85" x14ac:dyDescent="0.25">
      <c r="C848" s="3"/>
      <c r="F848" s="3"/>
      <c r="G848" s="3"/>
    </row>
    <row r="849" spans="3:7" ht="14.85" x14ac:dyDescent="0.25">
      <c r="C849" s="3"/>
      <c r="F849" s="3"/>
      <c r="G849" s="3"/>
    </row>
    <row r="850" spans="3:7" ht="14.85" x14ac:dyDescent="0.25">
      <c r="C850" s="3"/>
      <c r="F850" s="3"/>
      <c r="G850" s="3"/>
    </row>
    <row r="851" spans="3:7" ht="14.85" x14ac:dyDescent="0.25">
      <c r="C851" s="3"/>
      <c r="F851" s="3"/>
      <c r="G851" s="3"/>
    </row>
    <row r="852" spans="3:7" ht="14.85" x14ac:dyDescent="0.25">
      <c r="C852" s="3"/>
      <c r="F852" s="3"/>
      <c r="G852" s="3"/>
    </row>
    <row r="853" spans="3:7" ht="14.85" x14ac:dyDescent="0.25">
      <c r="C853" s="3"/>
      <c r="F853" s="3"/>
      <c r="G853" s="3"/>
    </row>
    <row r="854" spans="3:7" ht="14.85" x14ac:dyDescent="0.25">
      <c r="C854" s="3"/>
      <c r="F854" s="3"/>
      <c r="G854" s="3"/>
    </row>
    <row r="855" spans="3:7" ht="14.85" x14ac:dyDescent="0.25">
      <c r="C855" s="3"/>
      <c r="F855" s="3"/>
      <c r="G855" s="3"/>
    </row>
    <row r="856" spans="3:7" ht="14.85" x14ac:dyDescent="0.25">
      <c r="C856" s="3"/>
      <c r="F856" s="3"/>
      <c r="G856" s="3"/>
    </row>
    <row r="857" spans="3:7" ht="14.85" x14ac:dyDescent="0.25">
      <c r="C857" s="3"/>
      <c r="F857" s="3"/>
      <c r="G857" s="3"/>
    </row>
    <row r="858" spans="3:7" ht="14.85" x14ac:dyDescent="0.25">
      <c r="C858" s="3"/>
      <c r="F858" s="3"/>
      <c r="G858" s="3"/>
    </row>
    <row r="859" spans="3:7" ht="14.85" x14ac:dyDescent="0.25">
      <c r="C859" s="3"/>
      <c r="F859" s="3"/>
      <c r="G859" s="3"/>
    </row>
    <row r="860" spans="3:7" ht="14.85" x14ac:dyDescent="0.25">
      <c r="C860" s="3"/>
      <c r="F860" s="3"/>
      <c r="G860" s="3"/>
    </row>
    <row r="861" spans="3:7" ht="14.85" x14ac:dyDescent="0.25">
      <c r="C861" s="3"/>
      <c r="F861" s="3"/>
      <c r="G861" s="3"/>
    </row>
    <row r="862" spans="3:7" ht="14.85" x14ac:dyDescent="0.25">
      <c r="C862" s="3"/>
      <c r="F862" s="3"/>
      <c r="G862" s="3"/>
    </row>
    <row r="863" spans="3:7" ht="14.85" x14ac:dyDescent="0.25">
      <c r="C863" s="3"/>
      <c r="F863" s="3"/>
      <c r="G863" s="3"/>
    </row>
    <row r="864" spans="3:7" ht="14.85" x14ac:dyDescent="0.25">
      <c r="C864" s="3"/>
      <c r="F864" s="3"/>
      <c r="G864" s="3"/>
    </row>
    <row r="865" spans="3:7" ht="14.85" x14ac:dyDescent="0.25">
      <c r="C865" s="3"/>
      <c r="F865" s="3"/>
      <c r="G865" s="3"/>
    </row>
    <row r="866" spans="3:7" ht="14.85" x14ac:dyDescent="0.25">
      <c r="C866" s="3"/>
      <c r="F866" s="3"/>
      <c r="G866" s="3"/>
    </row>
    <row r="867" spans="3:7" ht="14.85" x14ac:dyDescent="0.25">
      <c r="C867" s="3"/>
      <c r="F867" s="3"/>
      <c r="G867" s="3"/>
    </row>
    <row r="868" spans="3:7" ht="14.85" x14ac:dyDescent="0.25">
      <c r="C868" s="3"/>
      <c r="F868" s="3"/>
      <c r="G868" s="3"/>
    </row>
    <row r="869" spans="3:7" ht="14.85" x14ac:dyDescent="0.25">
      <c r="C869" s="3"/>
      <c r="F869" s="3"/>
      <c r="G869" s="3"/>
    </row>
    <row r="870" spans="3:7" ht="14.85" x14ac:dyDescent="0.25">
      <c r="C870" s="3"/>
      <c r="F870" s="3"/>
      <c r="G870" s="3"/>
    </row>
    <row r="871" spans="3:7" ht="14.85" x14ac:dyDescent="0.25">
      <c r="C871" s="3"/>
      <c r="F871" s="3"/>
      <c r="G871" s="3"/>
    </row>
    <row r="872" spans="3:7" ht="14.85" x14ac:dyDescent="0.25">
      <c r="C872" s="3"/>
      <c r="F872" s="3"/>
      <c r="G872" s="3"/>
    </row>
    <row r="873" spans="3:7" ht="14.85" x14ac:dyDescent="0.25">
      <c r="C873" s="3"/>
      <c r="F873" s="3"/>
      <c r="G873" s="3"/>
    </row>
    <row r="874" spans="3:7" ht="14.85" x14ac:dyDescent="0.25">
      <c r="C874" s="3"/>
      <c r="F874" s="3"/>
      <c r="G874" s="3"/>
    </row>
    <row r="875" spans="3:7" ht="14.85" x14ac:dyDescent="0.25">
      <c r="C875" s="3"/>
      <c r="F875" s="3"/>
      <c r="G875" s="3"/>
    </row>
    <row r="876" spans="3:7" ht="14.85" x14ac:dyDescent="0.25">
      <c r="C876" s="3"/>
      <c r="F876" s="3"/>
      <c r="G876" s="3"/>
    </row>
    <row r="877" spans="3:7" ht="14.85" x14ac:dyDescent="0.25">
      <c r="C877" s="3"/>
      <c r="F877" s="3"/>
      <c r="G877" s="3"/>
    </row>
    <row r="878" spans="3:7" ht="14.85" x14ac:dyDescent="0.25">
      <c r="C878" s="3"/>
      <c r="F878" s="3"/>
      <c r="G878" s="3"/>
    </row>
    <row r="879" spans="3:7" ht="14.85" x14ac:dyDescent="0.25">
      <c r="C879" s="3"/>
      <c r="F879" s="3"/>
      <c r="G879" s="3"/>
    </row>
    <row r="880" spans="3:7" ht="14.85" x14ac:dyDescent="0.25">
      <c r="C880" s="3"/>
      <c r="F880" s="3"/>
      <c r="G880" s="3"/>
    </row>
    <row r="881" spans="3:7" ht="14.85" x14ac:dyDescent="0.25">
      <c r="C881" s="3"/>
      <c r="F881" s="3"/>
      <c r="G881" s="3"/>
    </row>
    <row r="882" spans="3:7" ht="14.85" x14ac:dyDescent="0.25">
      <c r="C882" s="3"/>
      <c r="F882" s="3"/>
      <c r="G882" s="3"/>
    </row>
    <row r="883" spans="3:7" ht="14.85" x14ac:dyDescent="0.25">
      <c r="C883" s="3"/>
      <c r="F883" s="3"/>
      <c r="G883" s="3"/>
    </row>
    <row r="884" spans="3:7" ht="14.85" x14ac:dyDescent="0.25">
      <c r="C884" s="3"/>
      <c r="F884" s="3"/>
      <c r="G884" s="3"/>
    </row>
    <row r="885" spans="3:7" ht="14.85" x14ac:dyDescent="0.25">
      <c r="C885" s="3"/>
      <c r="F885" s="3"/>
      <c r="G885" s="3"/>
    </row>
    <row r="886" spans="3:7" ht="14.85" x14ac:dyDescent="0.25">
      <c r="C886" s="3"/>
      <c r="F886" s="3"/>
      <c r="G886" s="3"/>
    </row>
    <row r="887" spans="3:7" ht="14.85" x14ac:dyDescent="0.25">
      <c r="C887" s="3"/>
      <c r="F887" s="3"/>
      <c r="G887" s="3"/>
    </row>
    <row r="888" spans="3:7" ht="14.85" x14ac:dyDescent="0.25">
      <c r="C888" s="3"/>
      <c r="F888" s="3"/>
      <c r="G888" s="3"/>
    </row>
    <row r="889" spans="3:7" ht="14.85" x14ac:dyDescent="0.25">
      <c r="C889" s="3"/>
      <c r="F889" s="3"/>
      <c r="G889" s="3"/>
    </row>
    <row r="890" spans="3:7" ht="14.85" x14ac:dyDescent="0.25">
      <c r="C890" s="3"/>
      <c r="F890" s="3"/>
      <c r="G890" s="3"/>
    </row>
    <row r="891" spans="3:7" ht="14.85" x14ac:dyDescent="0.25">
      <c r="C891" s="3"/>
      <c r="F891" s="3"/>
      <c r="G891" s="3"/>
    </row>
    <row r="892" spans="3:7" ht="14.85" x14ac:dyDescent="0.25">
      <c r="C892" s="3"/>
      <c r="F892" s="3"/>
      <c r="G892" s="3"/>
    </row>
    <row r="893" spans="3:7" ht="14.85" x14ac:dyDescent="0.25">
      <c r="C893" s="3"/>
      <c r="F893" s="3"/>
      <c r="G893" s="3"/>
    </row>
    <row r="894" spans="3:7" ht="14.85" x14ac:dyDescent="0.25">
      <c r="C894" s="3"/>
      <c r="F894" s="3"/>
      <c r="G894" s="3"/>
    </row>
    <row r="895" spans="3:7" ht="14.85" x14ac:dyDescent="0.25">
      <c r="C895" s="3"/>
      <c r="F895" s="3"/>
      <c r="G895" s="3"/>
    </row>
    <row r="896" spans="3:7" ht="14.85" x14ac:dyDescent="0.25">
      <c r="C896" s="3"/>
      <c r="F896" s="3"/>
      <c r="G896" s="3"/>
    </row>
    <row r="897" spans="3:7" ht="14.85" x14ac:dyDescent="0.25">
      <c r="C897" s="3"/>
      <c r="F897" s="3"/>
      <c r="G897" s="3"/>
    </row>
    <row r="898" spans="3:7" ht="14.85" x14ac:dyDescent="0.25">
      <c r="C898" s="3"/>
      <c r="F898" s="3"/>
      <c r="G898" s="3"/>
    </row>
    <row r="899" spans="3:7" ht="14.85" x14ac:dyDescent="0.25">
      <c r="C899" s="3"/>
      <c r="F899" s="3"/>
      <c r="G899" s="3"/>
    </row>
    <row r="900" spans="3:7" ht="14.85" x14ac:dyDescent="0.25">
      <c r="C900" s="3"/>
      <c r="F900" s="3"/>
      <c r="G900" s="3"/>
    </row>
  </sheetData>
  <autoFilter ref="A1:G77" xr:uid="{00000000-0009-0000-0000-000002000000}"/>
  <phoneticPr fontId="2"/>
  <conditionalFormatting sqref="C1:C75">
    <cfRule type="cellIs" dxfId="24" priority="1" operator="equal">
      <formula>"風"</formula>
    </cfRule>
    <cfRule type="cellIs" dxfId="23" priority="2" operator="equal">
      <formula>"林"</formula>
    </cfRule>
    <cfRule type="cellIs" dxfId="22" priority="3" operator="equal">
      <formula>"火"</formula>
    </cfRule>
    <cfRule type="cellIs" dxfId="21" priority="4" operator="equal">
      <formula>"山"</formula>
    </cfRule>
    <cfRule type="cellIs" dxfId="20" priority="5" operator="equal">
      <formula>"無"</formula>
    </cfRule>
  </conditionalFormatting>
  <dataValidations count="3">
    <dataValidation type="list" allowBlank="1" showErrorMessage="1" sqref="G2:G900" xr:uid="{00000000-0002-0000-0200-000000000000}">
      <formula1>"ロングシュート,カウンターシュート,シュートブロック,無"</formula1>
    </dataValidation>
    <dataValidation type="list" allowBlank="1" showErrorMessage="1" sqref="C2:C900" xr:uid="{00000000-0002-0000-0200-000001000000}">
      <formula1>"風,林,火,山,無,リアルスキル"</formula1>
    </dataValidation>
    <dataValidation type="list" allowBlank="1" sqref="F2:F900" xr:uid="{00000000-0002-0000-0200-000002000000}">
      <formula1>"特訓ショップ,秘宝堂,クロニクル百貨店,VSストア,スピリット交換所,ボックス"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G900"/>
  <sheetViews>
    <sheetView workbookViewId="0">
      <pane ySplit="1" topLeftCell="A2" activePane="bottomLeft" state="frozen"/>
      <selection pane="bottomLeft" activeCell="H4" sqref="H4"/>
    </sheetView>
  </sheetViews>
  <sheetFormatPr defaultColWidth="14.42578125" defaultRowHeight="15.05" customHeight="1" x14ac:dyDescent="0.25"/>
  <cols>
    <col min="2" max="2" width="24.140625" customWidth="1"/>
    <col min="6" max="6" width="20.7109375" customWidth="1"/>
    <col min="7" max="7" width="22.85546875" customWidth="1"/>
  </cols>
  <sheetData>
    <row r="1" spans="1:7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 t="s">
        <v>5</v>
      </c>
      <c r="G1" s="6" t="s">
        <v>6</v>
      </c>
    </row>
    <row r="2" spans="1:7" x14ac:dyDescent="0.25">
      <c r="A2" s="3" t="s">
        <v>8</v>
      </c>
      <c r="B2" s="3" t="s">
        <v>57</v>
      </c>
      <c r="C2" s="7" t="s">
        <v>10</v>
      </c>
      <c r="D2" s="7">
        <v>50</v>
      </c>
      <c r="E2" s="3">
        <f t="shared" ref="E2:E28" si="0">IF(D2=85, 80, D2)</f>
        <v>50</v>
      </c>
      <c r="F2" s="7" t="s">
        <v>11</v>
      </c>
      <c r="G2" s="7" t="s">
        <v>29</v>
      </c>
    </row>
    <row r="3" spans="1:7" x14ac:dyDescent="0.25">
      <c r="A3" s="3" t="s">
        <v>8</v>
      </c>
      <c r="B3" s="3" t="s">
        <v>61</v>
      </c>
      <c r="C3" s="7" t="s">
        <v>39</v>
      </c>
      <c r="D3" s="7">
        <v>50</v>
      </c>
      <c r="E3" s="3">
        <f t="shared" si="0"/>
        <v>50</v>
      </c>
      <c r="F3" s="7" t="s">
        <v>18</v>
      </c>
      <c r="G3" s="7" t="s">
        <v>29</v>
      </c>
    </row>
    <row r="4" spans="1:7" x14ac:dyDescent="0.25">
      <c r="A4" s="3" t="s">
        <v>8</v>
      </c>
      <c r="B4" s="3" t="s">
        <v>153</v>
      </c>
      <c r="C4" s="7" t="s">
        <v>10</v>
      </c>
      <c r="D4" s="7">
        <v>50</v>
      </c>
      <c r="E4" s="3">
        <f t="shared" si="0"/>
        <v>50</v>
      </c>
      <c r="F4" s="7" t="s">
        <v>24</v>
      </c>
      <c r="G4" s="7" t="s">
        <v>29</v>
      </c>
    </row>
    <row r="5" spans="1:7" x14ac:dyDescent="0.25">
      <c r="A5" s="3" t="s">
        <v>8</v>
      </c>
      <c r="B5" s="3" t="s">
        <v>168</v>
      </c>
      <c r="C5" s="7" t="s">
        <v>10</v>
      </c>
      <c r="D5" s="7">
        <v>50</v>
      </c>
      <c r="E5" s="3">
        <f t="shared" si="0"/>
        <v>50</v>
      </c>
      <c r="F5" s="7" t="s">
        <v>24</v>
      </c>
      <c r="G5" s="7" t="s">
        <v>29</v>
      </c>
    </row>
    <row r="6" spans="1:7" x14ac:dyDescent="0.25">
      <c r="A6" s="3" t="s">
        <v>8</v>
      </c>
      <c r="B6" s="3" t="s">
        <v>28</v>
      </c>
      <c r="C6" s="7" t="s">
        <v>14</v>
      </c>
      <c r="D6" s="7">
        <v>60</v>
      </c>
      <c r="E6" s="3">
        <f t="shared" si="0"/>
        <v>60</v>
      </c>
      <c r="F6" s="7" t="s">
        <v>24</v>
      </c>
      <c r="G6" s="7" t="s">
        <v>29</v>
      </c>
    </row>
    <row r="7" spans="1:7" x14ac:dyDescent="0.25">
      <c r="A7" s="3" t="s">
        <v>8</v>
      </c>
      <c r="B7" s="3" t="s">
        <v>48</v>
      </c>
      <c r="C7" s="7" t="s">
        <v>14</v>
      </c>
      <c r="D7" s="7">
        <v>60</v>
      </c>
      <c r="E7" s="3">
        <f t="shared" si="0"/>
        <v>60</v>
      </c>
      <c r="F7" s="7" t="s">
        <v>11</v>
      </c>
      <c r="G7" s="7" t="s">
        <v>29</v>
      </c>
    </row>
    <row r="8" spans="1:7" x14ac:dyDescent="0.25">
      <c r="A8" s="3" t="s">
        <v>8</v>
      </c>
      <c r="B8" s="3" t="s">
        <v>72</v>
      </c>
      <c r="C8" s="7" t="s">
        <v>10</v>
      </c>
      <c r="D8" s="7">
        <v>60</v>
      </c>
      <c r="E8" s="3">
        <f t="shared" si="0"/>
        <v>60</v>
      </c>
      <c r="F8" s="7" t="s">
        <v>11</v>
      </c>
      <c r="G8" s="7" t="s">
        <v>29</v>
      </c>
    </row>
    <row r="9" spans="1:7" x14ac:dyDescent="0.25">
      <c r="A9" s="3" t="s">
        <v>8</v>
      </c>
      <c r="B9" s="3" t="s">
        <v>76</v>
      </c>
      <c r="C9" s="7" t="s">
        <v>39</v>
      </c>
      <c r="D9" s="7">
        <v>60</v>
      </c>
      <c r="E9" s="3">
        <f t="shared" si="0"/>
        <v>60</v>
      </c>
      <c r="F9" s="7" t="s">
        <v>24</v>
      </c>
      <c r="G9" s="7" t="s">
        <v>29</v>
      </c>
    </row>
    <row r="10" spans="1:7" x14ac:dyDescent="0.25">
      <c r="A10" s="3" t="s">
        <v>8</v>
      </c>
      <c r="B10" s="3" t="s">
        <v>96</v>
      </c>
      <c r="C10" s="7" t="s">
        <v>39</v>
      </c>
      <c r="D10" s="7">
        <v>60</v>
      </c>
      <c r="E10" s="3">
        <f t="shared" si="0"/>
        <v>60</v>
      </c>
      <c r="F10" s="7" t="s">
        <v>32</v>
      </c>
      <c r="G10" s="7" t="s">
        <v>29</v>
      </c>
    </row>
    <row r="11" spans="1:7" x14ac:dyDescent="0.25">
      <c r="A11" s="3" t="s">
        <v>8</v>
      </c>
      <c r="B11" s="3" t="s">
        <v>97</v>
      </c>
      <c r="C11" s="7" t="s">
        <v>10</v>
      </c>
      <c r="D11" s="7">
        <v>60</v>
      </c>
      <c r="E11" s="3">
        <f t="shared" si="0"/>
        <v>60</v>
      </c>
      <c r="F11" s="7" t="s">
        <v>11</v>
      </c>
      <c r="G11" s="7" t="s">
        <v>29</v>
      </c>
    </row>
    <row r="12" spans="1:7" x14ac:dyDescent="0.25">
      <c r="A12" s="3" t="s">
        <v>8</v>
      </c>
      <c r="B12" s="3" t="s">
        <v>109</v>
      </c>
      <c r="C12" s="7" t="s">
        <v>39</v>
      </c>
      <c r="D12" s="7">
        <v>60</v>
      </c>
      <c r="E12" s="3">
        <f t="shared" si="0"/>
        <v>60</v>
      </c>
      <c r="F12" s="7" t="s">
        <v>24</v>
      </c>
      <c r="G12" s="7" t="s">
        <v>29</v>
      </c>
    </row>
    <row r="13" spans="1:7" x14ac:dyDescent="0.25">
      <c r="A13" s="3" t="s">
        <v>8</v>
      </c>
      <c r="B13" s="3" t="s">
        <v>127</v>
      </c>
      <c r="C13" s="7" t="s">
        <v>14</v>
      </c>
      <c r="D13" s="7">
        <v>60</v>
      </c>
      <c r="E13" s="3">
        <f t="shared" si="0"/>
        <v>60</v>
      </c>
      <c r="F13" s="7" t="s">
        <v>24</v>
      </c>
      <c r="G13" s="7" t="s">
        <v>29</v>
      </c>
    </row>
    <row r="14" spans="1:7" x14ac:dyDescent="0.25">
      <c r="A14" s="3" t="s">
        <v>8</v>
      </c>
      <c r="B14" s="3" t="s">
        <v>134</v>
      </c>
      <c r="C14" s="7" t="s">
        <v>14</v>
      </c>
      <c r="D14" s="7">
        <v>60</v>
      </c>
      <c r="E14" s="3">
        <f t="shared" si="0"/>
        <v>60</v>
      </c>
      <c r="F14" s="7" t="s">
        <v>32</v>
      </c>
      <c r="G14" s="7" t="s">
        <v>29</v>
      </c>
    </row>
    <row r="15" spans="1:7" x14ac:dyDescent="0.25">
      <c r="A15" s="3" t="s">
        <v>8</v>
      </c>
      <c r="B15" s="3" t="s">
        <v>135</v>
      </c>
      <c r="C15" s="7" t="s">
        <v>17</v>
      </c>
      <c r="D15" s="7">
        <v>60</v>
      </c>
      <c r="E15" s="3">
        <f t="shared" si="0"/>
        <v>60</v>
      </c>
      <c r="F15" s="7" t="s">
        <v>11</v>
      </c>
      <c r="G15" s="7" t="s">
        <v>29</v>
      </c>
    </row>
    <row r="16" spans="1:7" x14ac:dyDescent="0.25">
      <c r="A16" s="3" t="s">
        <v>8</v>
      </c>
      <c r="B16" s="3" t="s">
        <v>145</v>
      </c>
      <c r="C16" s="7" t="s">
        <v>39</v>
      </c>
      <c r="D16" s="7">
        <v>60</v>
      </c>
      <c r="E16" s="3">
        <f t="shared" si="0"/>
        <v>60</v>
      </c>
      <c r="F16" s="7" t="s">
        <v>32</v>
      </c>
      <c r="G16" s="7" t="s">
        <v>29</v>
      </c>
    </row>
    <row r="17" spans="1:7" x14ac:dyDescent="0.25">
      <c r="A17" s="3" t="s">
        <v>8</v>
      </c>
      <c r="B17" s="3" t="s">
        <v>169</v>
      </c>
      <c r="C17" s="7" t="s">
        <v>158</v>
      </c>
      <c r="D17" s="7">
        <v>60</v>
      </c>
      <c r="E17" s="3">
        <f t="shared" si="0"/>
        <v>60</v>
      </c>
      <c r="F17" s="7" t="s">
        <v>11</v>
      </c>
      <c r="G17" s="7" t="s">
        <v>29</v>
      </c>
    </row>
    <row r="18" spans="1:7" x14ac:dyDescent="0.25">
      <c r="A18" s="3" t="s">
        <v>8</v>
      </c>
      <c r="B18" s="3" t="s">
        <v>172</v>
      </c>
      <c r="C18" s="7" t="s">
        <v>14</v>
      </c>
      <c r="D18" s="7">
        <v>60</v>
      </c>
      <c r="E18" s="3">
        <f t="shared" si="0"/>
        <v>60</v>
      </c>
      <c r="F18" s="7" t="s">
        <v>32</v>
      </c>
      <c r="G18" s="7" t="s">
        <v>29</v>
      </c>
    </row>
    <row r="19" spans="1:7" x14ac:dyDescent="0.25">
      <c r="A19" s="3" t="s">
        <v>8</v>
      </c>
      <c r="B19" s="3" t="s">
        <v>173</v>
      </c>
      <c r="C19" s="7" t="s">
        <v>14</v>
      </c>
      <c r="D19" s="7">
        <v>60</v>
      </c>
      <c r="E19" s="3">
        <f t="shared" si="0"/>
        <v>60</v>
      </c>
      <c r="F19" s="7" t="s">
        <v>24</v>
      </c>
      <c r="G19" s="7" t="s">
        <v>29</v>
      </c>
    </row>
    <row r="20" spans="1:7" x14ac:dyDescent="0.25">
      <c r="A20" s="3" t="s">
        <v>8</v>
      </c>
      <c r="B20" s="3" t="s">
        <v>69</v>
      </c>
      <c r="C20" s="7" t="s">
        <v>10</v>
      </c>
      <c r="D20" s="7">
        <v>70</v>
      </c>
      <c r="E20" s="3">
        <f t="shared" si="0"/>
        <v>70</v>
      </c>
      <c r="F20" s="7" t="s">
        <v>11</v>
      </c>
      <c r="G20" s="7" t="s">
        <v>29</v>
      </c>
    </row>
    <row r="21" spans="1:7" x14ac:dyDescent="0.25">
      <c r="A21" s="3" t="s">
        <v>8</v>
      </c>
      <c r="B21" s="3" t="s">
        <v>104</v>
      </c>
      <c r="C21" s="7" t="s">
        <v>39</v>
      </c>
      <c r="D21" s="7">
        <v>70</v>
      </c>
      <c r="E21" s="3">
        <f t="shared" si="0"/>
        <v>70</v>
      </c>
      <c r="F21" s="7" t="s">
        <v>11</v>
      </c>
      <c r="G21" s="7" t="s">
        <v>29</v>
      </c>
    </row>
    <row r="22" spans="1:7" x14ac:dyDescent="0.25">
      <c r="A22" s="3" t="s">
        <v>8</v>
      </c>
      <c r="B22" s="3" t="s">
        <v>108</v>
      </c>
      <c r="C22" s="7" t="s">
        <v>39</v>
      </c>
      <c r="D22" s="7">
        <v>70</v>
      </c>
      <c r="E22" s="3">
        <f t="shared" si="0"/>
        <v>70</v>
      </c>
      <c r="F22" s="7" t="s">
        <v>24</v>
      </c>
      <c r="G22" s="7" t="s">
        <v>29</v>
      </c>
    </row>
    <row r="23" spans="1:7" x14ac:dyDescent="0.25">
      <c r="A23" s="3" t="s">
        <v>8</v>
      </c>
      <c r="B23" s="3" t="s">
        <v>180</v>
      </c>
      <c r="C23" s="7" t="s">
        <v>17</v>
      </c>
      <c r="D23" s="7">
        <v>70</v>
      </c>
      <c r="E23" s="3">
        <f t="shared" si="0"/>
        <v>70</v>
      </c>
      <c r="F23" s="7" t="s">
        <v>11</v>
      </c>
      <c r="G23" s="7" t="s">
        <v>29</v>
      </c>
    </row>
    <row r="24" spans="1:7" x14ac:dyDescent="0.25">
      <c r="A24" s="3" t="s">
        <v>8</v>
      </c>
      <c r="B24" s="3" t="s">
        <v>184</v>
      </c>
      <c r="C24" s="7" t="s">
        <v>14</v>
      </c>
      <c r="D24" s="7">
        <v>70</v>
      </c>
      <c r="E24" s="3">
        <f t="shared" si="0"/>
        <v>70</v>
      </c>
      <c r="F24" s="7" t="s">
        <v>11</v>
      </c>
      <c r="G24" s="7" t="s">
        <v>29</v>
      </c>
    </row>
    <row r="25" spans="1:7" x14ac:dyDescent="0.25">
      <c r="A25" s="3" t="s">
        <v>8</v>
      </c>
      <c r="B25" s="3" t="s">
        <v>90</v>
      </c>
      <c r="C25" s="7" t="s">
        <v>14</v>
      </c>
      <c r="D25" s="7">
        <v>85</v>
      </c>
      <c r="E25" s="3">
        <f t="shared" si="0"/>
        <v>80</v>
      </c>
      <c r="F25" s="7" t="s">
        <v>18</v>
      </c>
      <c r="G25" s="7" t="s">
        <v>29</v>
      </c>
    </row>
    <row r="26" spans="1:7" x14ac:dyDescent="0.25">
      <c r="A26" s="3" t="s">
        <v>8</v>
      </c>
      <c r="B26" s="3" t="s">
        <v>140</v>
      </c>
      <c r="C26" s="7" t="s">
        <v>10</v>
      </c>
      <c r="D26" s="7">
        <v>85</v>
      </c>
      <c r="E26" s="3">
        <f t="shared" si="0"/>
        <v>80</v>
      </c>
      <c r="F26" s="7" t="s">
        <v>32</v>
      </c>
      <c r="G26" s="7" t="s">
        <v>29</v>
      </c>
    </row>
    <row r="27" spans="1:7" x14ac:dyDescent="0.25">
      <c r="A27" s="3" t="s">
        <v>8</v>
      </c>
      <c r="B27" s="3" t="s">
        <v>183</v>
      </c>
      <c r="C27" s="7" t="s">
        <v>158</v>
      </c>
      <c r="D27" s="7">
        <v>85</v>
      </c>
      <c r="E27" s="3">
        <f t="shared" si="0"/>
        <v>80</v>
      </c>
      <c r="F27" s="7" t="s">
        <v>60</v>
      </c>
      <c r="G27" s="7" t="s">
        <v>29</v>
      </c>
    </row>
    <row r="28" spans="1:7" x14ac:dyDescent="0.25">
      <c r="A28" s="3" t="s">
        <v>8</v>
      </c>
      <c r="B28" s="3" t="s">
        <v>121</v>
      </c>
      <c r="C28" s="7" t="s">
        <v>39</v>
      </c>
      <c r="D28" s="7">
        <v>100</v>
      </c>
      <c r="E28" s="3">
        <f t="shared" si="0"/>
        <v>100</v>
      </c>
      <c r="F28" s="7" t="s">
        <v>60</v>
      </c>
      <c r="G28" s="7" t="s">
        <v>29</v>
      </c>
    </row>
    <row r="29" spans="1:7" x14ac:dyDescent="0.25">
      <c r="A29" s="3" t="s">
        <v>8</v>
      </c>
      <c r="B29" s="3" t="s">
        <v>122</v>
      </c>
      <c r="C29" s="7" t="s">
        <v>14</v>
      </c>
      <c r="D29" s="7">
        <v>100</v>
      </c>
      <c r="E29" s="7">
        <v>100</v>
      </c>
      <c r="F29" s="7" t="s">
        <v>52</v>
      </c>
      <c r="G29" s="7" t="s">
        <v>29</v>
      </c>
    </row>
    <row r="30" spans="1:7" x14ac:dyDescent="0.25">
      <c r="A30" s="3" t="s">
        <v>8</v>
      </c>
      <c r="B30" s="3" t="s">
        <v>65</v>
      </c>
      <c r="C30" s="7" t="s">
        <v>39</v>
      </c>
      <c r="D30" s="7">
        <v>50</v>
      </c>
      <c r="E30" s="3">
        <f t="shared" ref="E30:E61" si="1">IF(D30=85, 80, D30)</f>
        <v>50</v>
      </c>
      <c r="F30" s="7" t="s">
        <v>32</v>
      </c>
      <c r="G30" s="7" t="s">
        <v>12</v>
      </c>
    </row>
    <row r="31" spans="1:7" x14ac:dyDescent="0.25">
      <c r="A31" s="3" t="s">
        <v>8</v>
      </c>
      <c r="B31" s="3" t="s">
        <v>141</v>
      </c>
      <c r="C31" s="7" t="s">
        <v>39</v>
      </c>
      <c r="D31" s="7">
        <v>50</v>
      </c>
      <c r="E31" s="3">
        <f t="shared" si="1"/>
        <v>50</v>
      </c>
      <c r="F31" s="7" t="s">
        <v>11</v>
      </c>
      <c r="G31" s="7" t="s">
        <v>12</v>
      </c>
    </row>
    <row r="32" spans="1:7" x14ac:dyDescent="0.25">
      <c r="A32" s="3" t="s">
        <v>8</v>
      </c>
      <c r="B32" s="3" t="s">
        <v>37</v>
      </c>
      <c r="C32" s="7" t="s">
        <v>14</v>
      </c>
      <c r="D32" s="7">
        <v>60</v>
      </c>
      <c r="E32" s="3">
        <f t="shared" si="1"/>
        <v>60</v>
      </c>
      <c r="F32" s="7" t="s">
        <v>11</v>
      </c>
      <c r="G32" s="7" t="s">
        <v>12</v>
      </c>
    </row>
    <row r="33" spans="1:7" x14ac:dyDescent="0.25">
      <c r="A33" s="3" t="s">
        <v>8</v>
      </c>
      <c r="B33" s="3" t="s">
        <v>43</v>
      </c>
      <c r="C33" s="7" t="s">
        <v>10</v>
      </c>
      <c r="D33" s="7">
        <v>60</v>
      </c>
      <c r="E33" s="3">
        <f t="shared" si="1"/>
        <v>60</v>
      </c>
      <c r="F33" s="7" t="s">
        <v>18</v>
      </c>
      <c r="G33" s="7" t="s">
        <v>12</v>
      </c>
    </row>
    <row r="34" spans="1:7" x14ac:dyDescent="0.25">
      <c r="A34" s="3" t="s">
        <v>8</v>
      </c>
      <c r="B34" s="3" t="s">
        <v>54</v>
      </c>
      <c r="C34" s="7" t="s">
        <v>17</v>
      </c>
      <c r="D34" s="7">
        <v>60</v>
      </c>
      <c r="E34" s="3">
        <f t="shared" si="1"/>
        <v>60</v>
      </c>
      <c r="F34" s="7" t="s">
        <v>18</v>
      </c>
      <c r="G34" s="7" t="s">
        <v>12</v>
      </c>
    </row>
    <row r="35" spans="1:7" x14ac:dyDescent="0.25">
      <c r="A35" s="3" t="s">
        <v>8</v>
      </c>
      <c r="B35" s="3" t="s">
        <v>75</v>
      </c>
      <c r="C35" s="7" t="s">
        <v>17</v>
      </c>
      <c r="D35" s="7">
        <v>60</v>
      </c>
      <c r="E35" s="3">
        <f t="shared" si="1"/>
        <v>60</v>
      </c>
      <c r="F35" s="7" t="s">
        <v>32</v>
      </c>
      <c r="G35" s="7" t="s">
        <v>12</v>
      </c>
    </row>
    <row r="36" spans="1:7" x14ac:dyDescent="0.25">
      <c r="A36" s="3" t="s">
        <v>8</v>
      </c>
      <c r="B36" s="3" t="s">
        <v>77</v>
      </c>
      <c r="C36" s="7" t="s">
        <v>39</v>
      </c>
      <c r="D36" s="7">
        <v>60</v>
      </c>
      <c r="E36" s="3">
        <f t="shared" si="1"/>
        <v>60</v>
      </c>
      <c r="F36" s="7" t="s">
        <v>11</v>
      </c>
      <c r="G36" s="7" t="s">
        <v>12</v>
      </c>
    </row>
    <row r="37" spans="1:7" x14ac:dyDescent="0.25">
      <c r="A37" s="3" t="s">
        <v>8</v>
      </c>
      <c r="B37" s="3" t="s">
        <v>130</v>
      </c>
      <c r="C37" s="7" t="s">
        <v>17</v>
      </c>
      <c r="D37" s="7">
        <v>60</v>
      </c>
      <c r="E37" s="3">
        <f t="shared" si="1"/>
        <v>60</v>
      </c>
      <c r="F37" s="7" t="s">
        <v>18</v>
      </c>
      <c r="G37" s="7" t="s">
        <v>12</v>
      </c>
    </row>
    <row r="38" spans="1:7" x14ac:dyDescent="0.25">
      <c r="A38" s="3" t="s">
        <v>8</v>
      </c>
      <c r="B38" s="3" t="s">
        <v>156</v>
      </c>
      <c r="C38" s="7" t="s">
        <v>10</v>
      </c>
      <c r="D38" s="7">
        <v>60</v>
      </c>
      <c r="E38" s="3">
        <f t="shared" si="1"/>
        <v>60</v>
      </c>
      <c r="F38" s="7" t="s">
        <v>24</v>
      </c>
      <c r="G38" s="7" t="s">
        <v>12</v>
      </c>
    </row>
    <row r="39" spans="1:7" x14ac:dyDescent="0.25">
      <c r="A39" s="3" t="s">
        <v>8</v>
      </c>
      <c r="B39" s="7" t="s">
        <v>9</v>
      </c>
      <c r="C39" s="7" t="s">
        <v>10</v>
      </c>
      <c r="D39" s="7">
        <v>70</v>
      </c>
      <c r="E39" s="3">
        <f t="shared" si="1"/>
        <v>70</v>
      </c>
      <c r="F39" s="7" t="s">
        <v>11</v>
      </c>
      <c r="G39" s="7" t="s">
        <v>12</v>
      </c>
    </row>
    <row r="40" spans="1:7" x14ac:dyDescent="0.25">
      <c r="A40" s="3" t="s">
        <v>8</v>
      </c>
      <c r="B40" s="3" t="s">
        <v>19</v>
      </c>
      <c r="C40" s="7" t="s">
        <v>10</v>
      </c>
      <c r="D40" s="7">
        <v>70</v>
      </c>
      <c r="E40" s="3">
        <f t="shared" si="1"/>
        <v>70</v>
      </c>
      <c r="F40" s="7" t="s">
        <v>11</v>
      </c>
      <c r="G40" s="7" t="s">
        <v>12</v>
      </c>
    </row>
    <row r="41" spans="1:7" x14ac:dyDescent="0.25">
      <c r="A41" s="3" t="s">
        <v>8</v>
      </c>
      <c r="B41" s="3" t="s">
        <v>63</v>
      </c>
      <c r="C41" s="7" t="s">
        <v>14</v>
      </c>
      <c r="D41" s="7">
        <v>70</v>
      </c>
      <c r="E41" s="3">
        <f t="shared" si="1"/>
        <v>70</v>
      </c>
      <c r="F41" s="7" t="s">
        <v>11</v>
      </c>
      <c r="G41" s="7" t="s">
        <v>12</v>
      </c>
    </row>
    <row r="42" spans="1:7" x14ac:dyDescent="0.25">
      <c r="A42" s="3" t="s">
        <v>8</v>
      </c>
      <c r="B42" s="3" t="s">
        <v>82</v>
      </c>
      <c r="C42" s="7" t="s">
        <v>14</v>
      </c>
      <c r="D42" s="7">
        <v>70</v>
      </c>
      <c r="E42" s="3">
        <f t="shared" si="1"/>
        <v>70</v>
      </c>
      <c r="F42" s="7" t="s">
        <v>24</v>
      </c>
      <c r="G42" s="7" t="s">
        <v>12</v>
      </c>
    </row>
    <row r="43" spans="1:7" x14ac:dyDescent="0.25">
      <c r="A43" s="3" t="s">
        <v>8</v>
      </c>
      <c r="B43" s="3" t="s">
        <v>92</v>
      </c>
      <c r="C43" s="7" t="s">
        <v>39</v>
      </c>
      <c r="D43" s="7">
        <v>70</v>
      </c>
      <c r="E43" s="3">
        <f t="shared" si="1"/>
        <v>70</v>
      </c>
      <c r="F43" s="7" t="s">
        <v>11</v>
      </c>
      <c r="G43" s="7" t="s">
        <v>12</v>
      </c>
    </row>
    <row r="44" spans="1:7" x14ac:dyDescent="0.25">
      <c r="A44" s="3" t="s">
        <v>8</v>
      </c>
      <c r="B44" s="3" t="s">
        <v>177</v>
      </c>
      <c r="C44" s="7" t="s">
        <v>39</v>
      </c>
      <c r="D44" s="7">
        <v>70</v>
      </c>
      <c r="E44" s="3">
        <f t="shared" si="1"/>
        <v>70</v>
      </c>
      <c r="F44" s="7" t="s">
        <v>18</v>
      </c>
      <c r="G44" s="7" t="s">
        <v>12</v>
      </c>
    </row>
    <row r="45" spans="1:7" x14ac:dyDescent="0.25">
      <c r="A45" s="3" t="s">
        <v>8</v>
      </c>
      <c r="B45" s="3" t="s">
        <v>157</v>
      </c>
      <c r="C45" s="7" t="s">
        <v>158</v>
      </c>
      <c r="D45" s="7">
        <v>85</v>
      </c>
      <c r="E45" s="3">
        <f t="shared" si="1"/>
        <v>80</v>
      </c>
      <c r="F45" s="7" t="s">
        <v>52</v>
      </c>
      <c r="G45" s="7" t="s">
        <v>12</v>
      </c>
    </row>
    <row r="46" spans="1:7" x14ac:dyDescent="0.25">
      <c r="A46" s="3" t="s">
        <v>8</v>
      </c>
      <c r="B46" s="7" t="s">
        <v>191</v>
      </c>
      <c r="C46" s="7" t="s">
        <v>192</v>
      </c>
      <c r="D46" s="7">
        <v>30</v>
      </c>
      <c r="E46" s="3">
        <f t="shared" si="1"/>
        <v>30</v>
      </c>
      <c r="F46" s="7" t="s">
        <v>18</v>
      </c>
      <c r="G46" s="3"/>
    </row>
    <row r="47" spans="1:7" x14ac:dyDescent="0.25">
      <c r="A47" s="3" t="s">
        <v>8</v>
      </c>
      <c r="B47" s="7" t="s">
        <v>193</v>
      </c>
      <c r="C47" s="7" t="s">
        <v>192</v>
      </c>
      <c r="D47" s="7">
        <v>30</v>
      </c>
      <c r="E47" s="3">
        <f t="shared" si="1"/>
        <v>30</v>
      </c>
      <c r="F47" s="7" t="s">
        <v>18</v>
      </c>
      <c r="G47" s="3"/>
    </row>
    <row r="48" spans="1:7" x14ac:dyDescent="0.25">
      <c r="A48" s="3" t="s">
        <v>8</v>
      </c>
      <c r="B48" s="7" t="s">
        <v>194</v>
      </c>
      <c r="C48" s="7" t="s">
        <v>192</v>
      </c>
      <c r="D48" s="7">
        <v>30</v>
      </c>
      <c r="E48" s="3">
        <f t="shared" si="1"/>
        <v>30</v>
      </c>
      <c r="F48" s="7" t="s">
        <v>18</v>
      </c>
      <c r="G48" s="3"/>
    </row>
    <row r="49" spans="1:7" x14ac:dyDescent="0.25">
      <c r="A49" s="3" t="s">
        <v>8</v>
      </c>
      <c r="B49" s="7" t="s">
        <v>195</v>
      </c>
      <c r="C49" s="7" t="s">
        <v>192</v>
      </c>
      <c r="D49" s="7">
        <v>30</v>
      </c>
      <c r="E49" s="3">
        <f t="shared" si="1"/>
        <v>30</v>
      </c>
      <c r="F49" s="7" t="s">
        <v>18</v>
      </c>
      <c r="G49" s="3"/>
    </row>
    <row r="50" spans="1:7" x14ac:dyDescent="0.25">
      <c r="A50" s="3" t="s">
        <v>8</v>
      </c>
      <c r="B50" s="7" t="s">
        <v>196</v>
      </c>
      <c r="C50" s="7" t="s">
        <v>192</v>
      </c>
      <c r="D50" s="7">
        <v>30</v>
      </c>
      <c r="E50" s="3">
        <f t="shared" si="1"/>
        <v>30</v>
      </c>
      <c r="F50" s="7" t="s">
        <v>18</v>
      </c>
      <c r="G50" s="3"/>
    </row>
    <row r="51" spans="1:7" x14ac:dyDescent="0.25">
      <c r="A51" s="3" t="s">
        <v>8</v>
      </c>
      <c r="B51" s="3" t="s">
        <v>16</v>
      </c>
      <c r="C51" s="7" t="s">
        <v>17</v>
      </c>
      <c r="D51" s="7">
        <v>50</v>
      </c>
      <c r="E51" s="3">
        <f t="shared" si="1"/>
        <v>50</v>
      </c>
      <c r="F51" s="7" t="s">
        <v>18</v>
      </c>
      <c r="G51" s="3"/>
    </row>
    <row r="52" spans="1:7" x14ac:dyDescent="0.25">
      <c r="A52" s="3" t="s">
        <v>8</v>
      </c>
      <c r="B52" s="3" t="s">
        <v>20</v>
      </c>
      <c r="C52" s="7" t="s">
        <v>17</v>
      </c>
      <c r="D52" s="7">
        <v>50</v>
      </c>
      <c r="E52" s="3">
        <f t="shared" si="1"/>
        <v>50</v>
      </c>
      <c r="F52" s="7" t="s">
        <v>11</v>
      </c>
      <c r="G52" s="3"/>
    </row>
    <row r="53" spans="1:7" x14ac:dyDescent="0.25">
      <c r="A53" s="3" t="s">
        <v>8</v>
      </c>
      <c r="B53" s="3" t="s">
        <v>21</v>
      </c>
      <c r="C53" s="7" t="s">
        <v>14</v>
      </c>
      <c r="D53" s="7">
        <v>50</v>
      </c>
      <c r="E53" s="3">
        <f t="shared" si="1"/>
        <v>50</v>
      </c>
      <c r="F53" s="7" t="s">
        <v>18</v>
      </c>
      <c r="G53" s="3"/>
    </row>
    <row r="54" spans="1:7" x14ac:dyDescent="0.25">
      <c r="A54" s="3" t="s">
        <v>8</v>
      </c>
      <c r="B54" s="3" t="s">
        <v>23</v>
      </c>
      <c r="C54" s="7" t="s">
        <v>17</v>
      </c>
      <c r="D54" s="7">
        <v>50</v>
      </c>
      <c r="E54" s="3">
        <f t="shared" si="1"/>
        <v>50</v>
      </c>
      <c r="F54" s="7" t="s">
        <v>24</v>
      </c>
      <c r="G54" s="3"/>
    </row>
    <row r="55" spans="1:7" x14ac:dyDescent="0.25">
      <c r="A55" s="3" t="s">
        <v>8</v>
      </c>
      <c r="B55" s="3" t="s">
        <v>25</v>
      </c>
      <c r="C55" s="7" t="s">
        <v>10</v>
      </c>
      <c r="D55" s="7">
        <v>50</v>
      </c>
      <c r="E55" s="3">
        <f t="shared" si="1"/>
        <v>50</v>
      </c>
      <c r="F55" s="7" t="s">
        <v>18</v>
      </c>
      <c r="G55" s="3"/>
    </row>
    <row r="56" spans="1:7" x14ac:dyDescent="0.25">
      <c r="A56" s="3" t="s">
        <v>8</v>
      </c>
      <c r="B56" s="3" t="s">
        <v>26</v>
      </c>
      <c r="C56" s="7" t="s">
        <v>17</v>
      </c>
      <c r="D56" s="7">
        <v>50</v>
      </c>
      <c r="E56" s="3">
        <f t="shared" si="1"/>
        <v>50</v>
      </c>
      <c r="F56" s="7" t="s">
        <v>24</v>
      </c>
      <c r="G56" s="3"/>
    </row>
    <row r="57" spans="1:7" x14ac:dyDescent="0.25">
      <c r="A57" s="3" t="s">
        <v>8</v>
      </c>
      <c r="B57" s="3" t="s">
        <v>27</v>
      </c>
      <c r="C57" s="7" t="s">
        <v>17</v>
      </c>
      <c r="D57" s="7">
        <v>50</v>
      </c>
      <c r="E57" s="3">
        <f t="shared" si="1"/>
        <v>50</v>
      </c>
      <c r="F57" s="7" t="s">
        <v>18</v>
      </c>
      <c r="G57" s="3"/>
    </row>
    <row r="58" spans="1:7" x14ac:dyDescent="0.25">
      <c r="A58" s="3" t="s">
        <v>8</v>
      </c>
      <c r="B58" s="3" t="s">
        <v>30</v>
      </c>
      <c r="C58" s="7" t="s">
        <v>10</v>
      </c>
      <c r="D58" s="7">
        <v>50</v>
      </c>
      <c r="E58" s="3">
        <f t="shared" si="1"/>
        <v>50</v>
      </c>
      <c r="F58" s="7" t="s">
        <v>18</v>
      </c>
      <c r="G58" s="3"/>
    </row>
    <row r="59" spans="1:7" x14ac:dyDescent="0.25">
      <c r="A59" s="3" t="s">
        <v>8</v>
      </c>
      <c r="B59" s="3" t="s">
        <v>31</v>
      </c>
      <c r="C59" s="7" t="s">
        <v>17</v>
      </c>
      <c r="D59" s="7">
        <v>50</v>
      </c>
      <c r="E59" s="3">
        <f t="shared" si="1"/>
        <v>50</v>
      </c>
      <c r="F59" s="7" t="s">
        <v>32</v>
      </c>
      <c r="G59" s="3"/>
    </row>
    <row r="60" spans="1:7" x14ac:dyDescent="0.25">
      <c r="A60" s="3" t="s">
        <v>8</v>
      </c>
      <c r="B60" s="3" t="s">
        <v>33</v>
      </c>
      <c r="C60" s="7" t="s">
        <v>10</v>
      </c>
      <c r="D60" s="7">
        <v>50</v>
      </c>
      <c r="E60" s="3">
        <f t="shared" si="1"/>
        <v>50</v>
      </c>
      <c r="F60" s="7" t="s">
        <v>24</v>
      </c>
      <c r="G60" s="3"/>
    </row>
    <row r="61" spans="1:7" x14ac:dyDescent="0.25">
      <c r="A61" s="3" t="s">
        <v>8</v>
      </c>
      <c r="B61" s="3" t="s">
        <v>34</v>
      </c>
      <c r="C61" s="7" t="s">
        <v>10</v>
      </c>
      <c r="D61" s="7">
        <v>50</v>
      </c>
      <c r="E61" s="3">
        <f t="shared" si="1"/>
        <v>50</v>
      </c>
      <c r="F61" s="7" t="s">
        <v>24</v>
      </c>
      <c r="G61" s="3"/>
    </row>
    <row r="62" spans="1:7" x14ac:dyDescent="0.25">
      <c r="A62" s="3" t="s">
        <v>8</v>
      </c>
      <c r="B62" s="3" t="s">
        <v>35</v>
      </c>
      <c r="C62" s="7" t="s">
        <v>17</v>
      </c>
      <c r="D62" s="7">
        <v>50</v>
      </c>
      <c r="E62" s="3">
        <f t="shared" ref="E62:E93" si="2">IF(D62=85, 80, D62)</f>
        <v>50</v>
      </c>
      <c r="F62" s="7" t="s">
        <v>24</v>
      </c>
      <c r="G62" s="3"/>
    </row>
    <row r="63" spans="1:7" x14ac:dyDescent="0.25">
      <c r="A63" s="3" t="s">
        <v>8</v>
      </c>
      <c r="B63" s="3" t="s">
        <v>40</v>
      </c>
      <c r="C63" s="7" t="s">
        <v>17</v>
      </c>
      <c r="D63" s="7">
        <v>50</v>
      </c>
      <c r="E63" s="3">
        <f t="shared" si="2"/>
        <v>50</v>
      </c>
      <c r="F63" s="7" t="s">
        <v>18</v>
      </c>
      <c r="G63" s="3"/>
    </row>
    <row r="64" spans="1:7" x14ac:dyDescent="0.25">
      <c r="A64" s="3" t="s">
        <v>8</v>
      </c>
      <c r="B64" s="3" t="s">
        <v>44</v>
      </c>
      <c r="C64" s="7" t="s">
        <v>39</v>
      </c>
      <c r="D64" s="7">
        <v>50</v>
      </c>
      <c r="E64" s="3">
        <f t="shared" si="2"/>
        <v>50</v>
      </c>
      <c r="F64" s="7" t="s">
        <v>24</v>
      </c>
      <c r="G64" s="3"/>
    </row>
    <row r="65" spans="1:7" x14ac:dyDescent="0.25">
      <c r="A65" s="3" t="s">
        <v>8</v>
      </c>
      <c r="B65" s="3" t="s">
        <v>47</v>
      </c>
      <c r="C65" s="7" t="s">
        <v>39</v>
      </c>
      <c r="D65" s="7">
        <v>50</v>
      </c>
      <c r="E65" s="3">
        <f t="shared" si="2"/>
        <v>50</v>
      </c>
      <c r="F65" s="7" t="s">
        <v>24</v>
      </c>
      <c r="G65" s="3"/>
    </row>
    <row r="66" spans="1:7" x14ac:dyDescent="0.25">
      <c r="A66" s="3" t="s">
        <v>8</v>
      </c>
      <c r="B66" s="3" t="s">
        <v>71</v>
      </c>
      <c r="C66" s="7" t="s">
        <v>17</v>
      </c>
      <c r="D66" s="7">
        <v>50</v>
      </c>
      <c r="E66" s="3">
        <f t="shared" si="2"/>
        <v>50</v>
      </c>
      <c r="F66" s="7" t="s">
        <v>24</v>
      </c>
      <c r="G66" s="3"/>
    </row>
    <row r="67" spans="1:7" x14ac:dyDescent="0.25">
      <c r="A67" s="3" t="s">
        <v>8</v>
      </c>
      <c r="B67" s="3" t="s">
        <v>80</v>
      </c>
      <c r="C67" s="7" t="s">
        <v>39</v>
      </c>
      <c r="D67" s="7">
        <v>50</v>
      </c>
      <c r="E67" s="3">
        <f t="shared" si="2"/>
        <v>50</v>
      </c>
      <c r="F67" s="7" t="s">
        <v>11</v>
      </c>
      <c r="G67" s="3"/>
    </row>
    <row r="68" spans="1:7" x14ac:dyDescent="0.25">
      <c r="A68" s="3" t="s">
        <v>8</v>
      </c>
      <c r="B68" s="3" t="s">
        <v>116</v>
      </c>
      <c r="C68" s="7" t="s">
        <v>14</v>
      </c>
      <c r="D68" s="7">
        <v>50</v>
      </c>
      <c r="E68" s="3">
        <f t="shared" si="2"/>
        <v>50</v>
      </c>
      <c r="F68" s="7" t="s">
        <v>24</v>
      </c>
      <c r="G68" s="3"/>
    </row>
    <row r="69" spans="1:7" x14ac:dyDescent="0.25">
      <c r="A69" s="3" t="s">
        <v>8</v>
      </c>
      <c r="B69" s="3" t="s">
        <v>138</v>
      </c>
      <c r="C69" s="7" t="s">
        <v>10</v>
      </c>
      <c r="D69" s="7">
        <v>50</v>
      </c>
      <c r="E69" s="3">
        <f t="shared" si="2"/>
        <v>50</v>
      </c>
      <c r="F69" s="7" t="s">
        <v>11</v>
      </c>
      <c r="G69" s="3"/>
    </row>
    <row r="70" spans="1:7" x14ac:dyDescent="0.25">
      <c r="A70" s="3" t="s">
        <v>8</v>
      </c>
      <c r="B70" s="3" t="s">
        <v>143</v>
      </c>
      <c r="C70" s="7" t="s">
        <v>14</v>
      </c>
      <c r="D70" s="7">
        <v>50</v>
      </c>
      <c r="E70" s="3">
        <f t="shared" si="2"/>
        <v>50</v>
      </c>
      <c r="F70" s="7" t="s">
        <v>24</v>
      </c>
      <c r="G70" s="3"/>
    </row>
    <row r="71" spans="1:7" x14ac:dyDescent="0.25">
      <c r="A71" s="3" t="s">
        <v>8</v>
      </c>
      <c r="B71" s="3" t="s">
        <v>147</v>
      </c>
      <c r="C71" s="7" t="s">
        <v>17</v>
      </c>
      <c r="D71" s="7">
        <v>50</v>
      </c>
      <c r="E71" s="3">
        <f t="shared" si="2"/>
        <v>50</v>
      </c>
      <c r="F71" s="7" t="s">
        <v>24</v>
      </c>
      <c r="G71" s="3"/>
    </row>
    <row r="72" spans="1:7" x14ac:dyDescent="0.25">
      <c r="A72" s="3" t="s">
        <v>8</v>
      </c>
      <c r="B72" s="3" t="s">
        <v>148</v>
      </c>
      <c r="C72" s="7" t="s">
        <v>17</v>
      </c>
      <c r="D72" s="7">
        <v>50</v>
      </c>
      <c r="E72" s="3">
        <f t="shared" si="2"/>
        <v>50</v>
      </c>
      <c r="F72" s="7" t="s">
        <v>11</v>
      </c>
      <c r="G72" s="3"/>
    </row>
    <row r="73" spans="1:7" x14ac:dyDescent="0.25">
      <c r="A73" s="3" t="s">
        <v>8</v>
      </c>
      <c r="B73" s="3" t="s">
        <v>154</v>
      </c>
      <c r="C73" s="7" t="s">
        <v>39</v>
      </c>
      <c r="D73" s="7">
        <v>50</v>
      </c>
      <c r="E73" s="3">
        <f t="shared" si="2"/>
        <v>50</v>
      </c>
      <c r="F73" s="7" t="s">
        <v>11</v>
      </c>
      <c r="G73" s="3"/>
    </row>
    <row r="74" spans="1:7" x14ac:dyDescent="0.25">
      <c r="A74" s="3" t="s">
        <v>8</v>
      </c>
      <c r="B74" s="3" t="s">
        <v>166</v>
      </c>
      <c r="C74" s="7" t="s">
        <v>10</v>
      </c>
      <c r="D74" s="7">
        <v>50</v>
      </c>
      <c r="E74" s="3">
        <f t="shared" si="2"/>
        <v>50</v>
      </c>
      <c r="F74" s="7" t="s">
        <v>18</v>
      </c>
      <c r="G74" s="3"/>
    </row>
    <row r="75" spans="1:7" x14ac:dyDescent="0.25">
      <c r="A75" s="3" t="s">
        <v>8</v>
      </c>
      <c r="B75" s="7" t="s">
        <v>200</v>
      </c>
      <c r="C75" s="7" t="s">
        <v>10</v>
      </c>
      <c r="D75" s="7">
        <v>50</v>
      </c>
      <c r="E75" s="3">
        <f t="shared" si="2"/>
        <v>50</v>
      </c>
      <c r="F75" s="7" t="s">
        <v>18</v>
      </c>
      <c r="G75" s="3"/>
    </row>
    <row r="76" spans="1:7" x14ac:dyDescent="0.25">
      <c r="A76" s="3" t="s">
        <v>8</v>
      </c>
      <c r="B76" s="7" t="s">
        <v>202</v>
      </c>
      <c r="C76" s="7" t="s">
        <v>10</v>
      </c>
      <c r="D76" s="7">
        <v>50</v>
      </c>
      <c r="E76" s="3">
        <f t="shared" si="2"/>
        <v>50</v>
      </c>
      <c r="F76" s="7" t="s">
        <v>18</v>
      </c>
      <c r="G76" s="3"/>
    </row>
    <row r="77" spans="1:7" x14ac:dyDescent="0.25">
      <c r="A77" s="3" t="s">
        <v>8</v>
      </c>
      <c r="B77" s="3" t="s">
        <v>15</v>
      </c>
      <c r="C77" s="7" t="s">
        <v>14</v>
      </c>
      <c r="D77" s="7">
        <v>60</v>
      </c>
      <c r="E77" s="3">
        <f t="shared" si="2"/>
        <v>60</v>
      </c>
      <c r="F77" s="7" t="s">
        <v>11</v>
      </c>
      <c r="G77" s="3"/>
    </row>
    <row r="78" spans="1:7" x14ac:dyDescent="0.25">
      <c r="A78" s="3" t="s">
        <v>8</v>
      </c>
      <c r="B78" s="3" t="s">
        <v>38</v>
      </c>
      <c r="C78" s="7" t="s">
        <v>39</v>
      </c>
      <c r="D78" s="7">
        <v>60</v>
      </c>
      <c r="E78" s="3">
        <f t="shared" si="2"/>
        <v>60</v>
      </c>
      <c r="F78" s="7" t="s">
        <v>18</v>
      </c>
      <c r="G78" s="3"/>
    </row>
    <row r="79" spans="1:7" x14ac:dyDescent="0.25">
      <c r="A79" s="3" t="s">
        <v>8</v>
      </c>
      <c r="B79" s="3" t="s">
        <v>41</v>
      </c>
      <c r="C79" s="7" t="s">
        <v>14</v>
      </c>
      <c r="D79" s="7">
        <v>60</v>
      </c>
      <c r="E79" s="3">
        <f t="shared" si="2"/>
        <v>60</v>
      </c>
      <c r="F79" s="7" t="s">
        <v>24</v>
      </c>
      <c r="G79" s="3"/>
    </row>
    <row r="80" spans="1:7" x14ac:dyDescent="0.25">
      <c r="A80" s="3" t="s">
        <v>8</v>
      </c>
      <c r="B80" s="3" t="s">
        <v>42</v>
      </c>
      <c r="C80" s="7" t="s">
        <v>10</v>
      </c>
      <c r="D80" s="7">
        <v>60</v>
      </c>
      <c r="E80" s="3">
        <f t="shared" si="2"/>
        <v>60</v>
      </c>
      <c r="F80" s="7" t="s">
        <v>18</v>
      </c>
      <c r="G80" s="3"/>
    </row>
    <row r="81" spans="1:7" x14ac:dyDescent="0.25">
      <c r="A81" s="3" t="s">
        <v>8</v>
      </c>
      <c r="B81" s="3" t="s">
        <v>55</v>
      </c>
      <c r="C81" s="7" t="s">
        <v>10</v>
      </c>
      <c r="D81" s="7">
        <v>60</v>
      </c>
      <c r="E81" s="3">
        <f t="shared" si="2"/>
        <v>60</v>
      </c>
      <c r="F81" s="7" t="s">
        <v>11</v>
      </c>
      <c r="G81" s="3"/>
    </row>
    <row r="82" spans="1:7" x14ac:dyDescent="0.25">
      <c r="A82" s="3" t="s">
        <v>8</v>
      </c>
      <c r="B82" s="3" t="s">
        <v>62</v>
      </c>
      <c r="C82" s="7" t="s">
        <v>17</v>
      </c>
      <c r="D82" s="7">
        <v>60</v>
      </c>
      <c r="E82" s="3">
        <f t="shared" si="2"/>
        <v>60</v>
      </c>
      <c r="F82" s="7" t="s">
        <v>11</v>
      </c>
      <c r="G82" s="3"/>
    </row>
    <row r="83" spans="1:7" x14ac:dyDescent="0.25">
      <c r="A83" s="3" t="s">
        <v>8</v>
      </c>
      <c r="B83" s="3" t="s">
        <v>64</v>
      </c>
      <c r="C83" s="7" t="s">
        <v>17</v>
      </c>
      <c r="D83" s="7">
        <v>60</v>
      </c>
      <c r="E83" s="3">
        <f t="shared" si="2"/>
        <v>60</v>
      </c>
      <c r="F83" s="7" t="s">
        <v>18</v>
      </c>
      <c r="G83" s="3"/>
    </row>
    <row r="84" spans="1:7" x14ac:dyDescent="0.25">
      <c r="A84" s="3" t="s">
        <v>8</v>
      </c>
      <c r="B84" s="3" t="s">
        <v>66</v>
      </c>
      <c r="C84" s="7" t="s">
        <v>14</v>
      </c>
      <c r="D84" s="7">
        <v>60</v>
      </c>
      <c r="E84" s="3">
        <f t="shared" si="2"/>
        <v>60</v>
      </c>
      <c r="F84" s="7" t="s">
        <v>24</v>
      </c>
      <c r="G84" s="3"/>
    </row>
    <row r="85" spans="1:7" x14ac:dyDescent="0.25">
      <c r="A85" s="3" t="s">
        <v>8</v>
      </c>
      <c r="B85" s="3" t="s">
        <v>67</v>
      </c>
      <c r="C85" s="7" t="s">
        <v>10</v>
      </c>
      <c r="D85" s="7">
        <v>60</v>
      </c>
      <c r="E85" s="3">
        <f t="shared" si="2"/>
        <v>60</v>
      </c>
      <c r="F85" s="7" t="s">
        <v>24</v>
      </c>
      <c r="G85" s="3"/>
    </row>
    <row r="86" spans="1:7" x14ac:dyDescent="0.25">
      <c r="A86" s="3" t="s">
        <v>8</v>
      </c>
      <c r="B86" s="3" t="s">
        <v>68</v>
      </c>
      <c r="C86" s="7" t="s">
        <v>17</v>
      </c>
      <c r="D86" s="7">
        <v>60</v>
      </c>
      <c r="E86" s="3">
        <f t="shared" si="2"/>
        <v>60</v>
      </c>
      <c r="F86" s="7" t="s">
        <v>24</v>
      </c>
      <c r="G86" s="3"/>
    </row>
    <row r="87" spans="1:7" x14ac:dyDescent="0.25">
      <c r="A87" s="3" t="s">
        <v>8</v>
      </c>
      <c r="B87" s="3" t="s">
        <v>83</v>
      </c>
      <c r="C87" s="7" t="s">
        <v>17</v>
      </c>
      <c r="D87" s="7">
        <v>60</v>
      </c>
      <c r="E87" s="3">
        <f t="shared" si="2"/>
        <v>60</v>
      </c>
      <c r="F87" s="7" t="s">
        <v>24</v>
      </c>
      <c r="G87" s="3"/>
    </row>
    <row r="88" spans="1:7" x14ac:dyDescent="0.25">
      <c r="A88" s="3" t="s">
        <v>8</v>
      </c>
      <c r="B88" s="3" t="s">
        <v>86</v>
      </c>
      <c r="C88" s="7" t="s">
        <v>17</v>
      </c>
      <c r="D88" s="7">
        <v>60</v>
      </c>
      <c r="E88" s="3">
        <f t="shared" si="2"/>
        <v>60</v>
      </c>
      <c r="F88" s="7" t="s">
        <v>11</v>
      </c>
      <c r="G88" s="3"/>
    </row>
    <row r="89" spans="1:7" x14ac:dyDescent="0.25">
      <c r="A89" s="3" t="s">
        <v>8</v>
      </c>
      <c r="B89" s="3" t="s">
        <v>93</v>
      </c>
      <c r="C89" s="7" t="s">
        <v>14</v>
      </c>
      <c r="D89" s="7">
        <v>60</v>
      </c>
      <c r="E89" s="3">
        <f t="shared" si="2"/>
        <v>60</v>
      </c>
      <c r="F89" s="7" t="s">
        <v>32</v>
      </c>
      <c r="G89" s="3"/>
    </row>
    <row r="90" spans="1:7" x14ac:dyDescent="0.25">
      <c r="A90" s="3" t="s">
        <v>8</v>
      </c>
      <c r="B90" s="3" t="s">
        <v>98</v>
      </c>
      <c r="C90" s="7" t="s">
        <v>14</v>
      </c>
      <c r="D90" s="7">
        <v>60</v>
      </c>
      <c r="E90" s="3">
        <f t="shared" si="2"/>
        <v>60</v>
      </c>
      <c r="F90" s="7" t="s">
        <v>32</v>
      </c>
      <c r="G90" s="3"/>
    </row>
    <row r="91" spans="1:7" x14ac:dyDescent="0.25">
      <c r="A91" s="3" t="s">
        <v>8</v>
      </c>
      <c r="B91" s="3" t="s">
        <v>99</v>
      </c>
      <c r="C91" s="7" t="s">
        <v>10</v>
      </c>
      <c r="D91" s="7">
        <v>60</v>
      </c>
      <c r="E91" s="3">
        <f t="shared" si="2"/>
        <v>60</v>
      </c>
      <c r="F91" s="7" t="s">
        <v>11</v>
      </c>
      <c r="G91" s="3"/>
    </row>
    <row r="92" spans="1:7" x14ac:dyDescent="0.25">
      <c r="A92" s="3" t="s">
        <v>8</v>
      </c>
      <c r="B92" s="3" t="s">
        <v>113</v>
      </c>
      <c r="C92" s="7" t="s">
        <v>10</v>
      </c>
      <c r="D92" s="7">
        <v>60</v>
      </c>
      <c r="E92" s="3">
        <f t="shared" si="2"/>
        <v>60</v>
      </c>
      <c r="F92" s="7" t="s">
        <v>24</v>
      </c>
      <c r="G92" s="3"/>
    </row>
    <row r="93" spans="1:7" x14ac:dyDescent="0.25">
      <c r="A93" s="3" t="s">
        <v>8</v>
      </c>
      <c r="B93" s="3" t="s">
        <v>114</v>
      </c>
      <c r="C93" s="7" t="s">
        <v>39</v>
      </c>
      <c r="D93" s="7">
        <v>60</v>
      </c>
      <c r="E93" s="3">
        <f t="shared" si="2"/>
        <v>60</v>
      </c>
      <c r="F93" s="7" t="s">
        <v>24</v>
      </c>
      <c r="G93" s="3"/>
    </row>
    <row r="94" spans="1:7" x14ac:dyDescent="0.25">
      <c r="A94" s="3" t="s">
        <v>8</v>
      </c>
      <c r="B94" s="3" t="s">
        <v>115</v>
      </c>
      <c r="C94" s="7" t="s">
        <v>10</v>
      </c>
      <c r="D94" s="7">
        <v>60</v>
      </c>
      <c r="E94" s="3">
        <f t="shared" ref="E94:E125" si="3">IF(D94=85, 80, D94)</f>
        <v>60</v>
      </c>
      <c r="F94" s="7" t="s">
        <v>32</v>
      </c>
      <c r="G94" s="3"/>
    </row>
    <row r="95" spans="1:7" x14ac:dyDescent="0.25">
      <c r="A95" s="3" t="s">
        <v>8</v>
      </c>
      <c r="B95" s="3" t="s">
        <v>118</v>
      </c>
      <c r="C95" s="7" t="s">
        <v>17</v>
      </c>
      <c r="D95" s="7">
        <v>60</v>
      </c>
      <c r="E95" s="3">
        <f t="shared" si="3"/>
        <v>60</v>
      </c>
      <c r="F95" s="7" t="s">
        <v>18</v>
      </c>
      <c r="G95" s="3"/>
    </row>
    <row r="96" spans="1:7" x14ac:dyDescent="0.25">
      <c r="A96" s="3" t="s">
        <v>8</v>
      </c>
      <c r="B96" s="3" t="s">
        <v>124</v>
      </c>
      <c r="C96" s="7" t="s">
        <v>14</v>
      </c>
      <c r="D96" s="7">
        <v>60</v>
      </c>
      <c r="E96" s="3">
        <f t="shared" si="3"/>
        <v>60</v>
      </c>
      <c r="F96" s="7" t="s">
        <v>18</v>
      </c>
      <c r="G96" s="3"/>
    </row>
    <row r="97" spans="1:7" x14ac:dyDescent="0.25">
      <c r="A97" s="3" t="s">
        <v>8</v>
      </c>
      <c r="B97" s="3" t="s">
        <v>132</v>
      </c>
      <c r="C97" s="7" t="s">
        <v>14</v>
      </c>
      <c r="D97" s="7">
        <v>60</v>
      </c>
      <c r="E97" s="3">
        <f t="shared" si="3"/>
        <v>60</v>
      </c>
      <c r="F97" s="7" t="s">
        <v>24</v>
      </c>
      <c r="G97" s="3"/>
    </row>
    <row r="98" spans="1:7" x14ac:dyDescent="0.25">
      <c r="A98" s="3" t="s">
        <v>8</v>
      </c>
      <c r="B98" s="3" t="s">
        <v>139</v>
      </c>
      <c r="C98" s="7" t="s">
        <v>14</v>
      </c>
      <c r="D98" s="7">
        <v>60</v>
      </c>
      <c r="E98" s="3">
        <f t="shared" si="3"/>
        <v>60</v>
      </c>
      <c r="F98" s="7" t="s">
        <v>11</v>
      </c>
      <c r="G98" s="3"/>
    </row>
    <row r="99" spans="1:7" x14ac:dyDescent="0.25">
      <c r="A99" s="3" t="s">
        <v>8</v>
      </c>
      <c r="B99" s="3" t="s">
        <v>142</v>
      </c>
      <c r="C99" s="7" t="s">
        <v>39</v>
      </c>
      <c r="D99" s="7">
        <v>60</v>
      </c>
      <c r="E99" s="3">
        <f t="shared" si="3"/>
        <v>60</v>
      </c>
      <c r="F99" s="7" t="s">
        <v>11</v>
      </c>
      <c r="G99" s="3"/>
    </row>
    <row r="100" spans="1:7" x14ac:dyDescent="0.25">
      <c r="A100" s="3" t="s">
        <v>8</v>
      </c>
      <c r="B100" s="3" t="s">
        <v>144</v>
      </c>
      <c r="C100" s="7" t="s">
        <v>14</v>
      </c>
      <c r="D100" s="7">
        <v>60</v>
      </c>
      <c r="E100" s="3">
        <f t="shared" si="3"/>
        <v>60</v>
      </c>
      <c r="F100" s="7" t="s">
        <v>24</v>
      </c>
      <c r="G100" s="3"/>
    </row>
    <row r="101" spans="1:7" x14ac:dyDescent="0.25">
      <c r="A101" s="3" t="s">
        <v>8</v>
      </c>
      <c r="B101" s="3" t="s">
        <v>150</v>
      </c>
      <c r="C101" s="7" t="s">
        <v>17</v>
      </c>
      <c r="D101" s="7">
        <v>60</v>
      </c>
      <c r="E101" s="3">
        <f t="shared" si="3"/>
        <v>60</v>
      </c>
      <c r="F101" s="7" t="s">
        <v>24</v>
      </c>
      <c r="G101" s="3"/>
    </row>
    <row r="102" spans="1:7" x14ac:dyDescent="0.25">
      <c r="A102" s="3" t="s">
        <v>8</v>
      </c>
      <c r="B102" s="3" t="s">
        <v>151</v>
      </c>
      <c r="C102" s="7" t="s">
        <v>10</v>
      </c>
      <c r="D102" s="7">
        <v>60</v>
      </c>
      <c r="E102" s="3">
        <f t="shared" si="3"/>
        <v>60</v>
      </c>
      <c r="F102" s="7" t="s">
        <v>24</v>
      </c>
      <c r="G102" s="3"/>
    </row>
    <row r="103" spans="1:7" x14ac:dyDescent="0.25">
      <c r="A103" s="3" t="s">
        <v>8</v>
      </c>
      <c r="B103" s="3" t="s">
        <v>165</v>
      </c>
      <c r="C103" s="7" t="s">
        <v>17</v>
      </c>
      <c r="D103" s="7">
        <v>60</v>
      </c>
      <c r="E103" s="3">
        <f t="shared" si="3"/>
        <v>60</v>
      </c>
      <c r="F103" s="7" t="s">
        <v>11</v>
      </c>
      <c r="G103" s="7"/>
    </row>
    <row r="104" spans="1:7" x14ac:dyDescent="0.25">
      <c r="A104" s="3" t="s">
        <v>8</v>
      </c>
      <c r="B104" s="3" t="s">
        <v>175</v>
      </c>
      <c r="C104" s="7" t="s">
        <v>39</v>
      </c>
      <c r="D104" s="7">
        <v>60</v>
      </c>
      <c r="E104" s="3">
        <f t="shared" si="3"/>
        <v>60</v>
      </c>
      <c r="F104" s="7" t="s">
        <v>18</v>
      </c>
      <c r="G104" s="3"/>
    </row>
    <row r="105" spans="1:7" x14ac:dyDescent="0.25">
      <c r="A105" s="3" t="s">
        <v>8</v>
      </c>
      <c r="B105" s="3" t="s">
        <v>176</v>
      </c>
      <c r="C105" s="7" t="s">
        <v>39</v>
      </c>
      <c r="D105" s="7">
        <v>60</v>
      </c>
      <c r="E105" s="3">
        <f t="shared" si="3"/>
        <v>60</v>
      </c>
      <c r="F105" s="7" t="s">
        <v>24</v>
      </c>
      <c r="G105" s="3"/>
    </row>
    <row r="106" spans="1:7" x14ac:dyDescent="0.25">
      <c r="A106" s="3" t="s">
        <v>8</v>
      </c>
      <c r="B106" s="3" t="s">
        <v>188</v>
      </c>
      <c r="C106" s="7" t="s">
        <v>17</v>
      </c>
      <c r="D106" s="7">
        <v>60</v>
      </c>
      <c r="E106" s="3">
        <f t="shared" si="3"/>
        <v>60</v>
      </c>
      <c r="F106" s="7" t="s">
        <v>24</v>
      </c>
      <c r="G106" s="3"/>
    </row>
    <row r="107" spans="1:7" x14ac:dyDescent="0.25">
      <c r="A107" s="3" t="s">
        <v>8</v>
      </c>
      <c r="B107" s="7" t="s">
        <v>198</v>
      </c>
      <c r="C107" s="7" t="s">
        <v>14</v>
      </c>
      <c r="D107" s="7">
        <v>60</v>
      </c>
      <c r="E107" s="3">
        <f t="shared" si="3"/>
        <v>60</v>
      </c>
      <c r="F107" s="7" t="s">
        <v>18</v>
      </c>
      <c r="G107" s="3"/>
    </row>
    <row r="108" spans="1:7" x14ac:dyDescent="0.25">
      <c r="A108" s="3" t="s">
        <v>8</v>
      </c>
      <c r="B108" s="7" t="s">
        <v>199</v>
      </c>
      <c r="C108" s="7" t="s">
        <v>39</v>
      </c>
      <c r="D108" s="7">
        <v>60</v>
      </c>
      <c r="E108" s="3">
        <f t="shared" si="3"/>
        <v>60</v>
      </c>
      <c r="F108" s="7" t="s">
        <v>18</v>
      </c>
      <c r="G108" s="3"/>
    </row>
    <row r="109" spans="1:7" x14ac:dyDescent="0.25">
      <c r="A109" s="3" t="s">
        <v>8</v>
      </c>
      <c r="B109" s="7" t="s">
        <v>206</v>
      </c>
      <c r="C109" s="7" t="s">
        <v>10</v>
      </c>
      <c r="D109" s="7">
        <v>60</v>
      </c>
      <c r="E109" s="3">
        <f t="shared" si="3"/>
        <v>60</v>
      </c>
      <c r="F109" s="7" t="s">
        <v>18</v>
      </c>
      <c r="G109" s="3"/>
    </row>
    <row r="110" spans="1:7" x14ac:dyDescent="0.25">
      <c r="A110" s="3" t="s">
        <v>8</v>
      </c>
      <c r="B110" s="3" t="s">
        <v>13</v>
      </c>
      <c r="C110" s="7" t="s">
        <v>14</v>
      </c>
      <c r="D110" s="7">
        <v>70</v>
      </c>
      <c r="E110" s="3">
        <f t="shared" si="3"/>
        <v>70</v>
      </c>
      <c r="F110" s="7" t="s">
        <v>11</v>
      </c>
      <c r="G110" s="3"/>
    </row>
    <row r="111" spans="1:7" x14ac:dyDescent="0.25">
      <c r="A111" s="3" t="s">
        <v>8</v>
      </c>
      <c r="B111" s="3" t="s">
        <v>22</v>
      </c>
      <c r="C111" s="7" t="s">
        <v>17</v>
      </c>
      <c r="D111" s="7">
        <v>70</v>
      </c>
      <c r="E111" s="3">
        <f t="shared" si="3"/>
        <v>70</v>
      </c>
      <c r="F111" s="7" t="s">
        <v>11</v>
      </c>
      <c r="G111" s="3"/>
    </row>
    <row r="112" spans="1:7" x14ac:dyDescent="0.25">
      <c r="A112" s="3" t="s">
        <v>8</v>
      </c>
      <c r="B112" s="3" t="s">
        <v>36</v>
      </c>
      <c r="C112" s="7" t="s">
        <v>14</v>
      </c>
      <c r="D112" s="7">
        <v>70</v>
      </c>
      <c r="E112" s="3">
        <f t="shared" si="3"/>
        <v>70</v>
      </c>
      <c r="F112" s="7" t="s">
        <v>11</v>
      </c>
      <c r="G112" s="3"/>
    </row>
    <row r="113" spans="1:7" x14ac:dyDescent="0.25">
      <c r="A113" s="3" t="s">
        <v>8</v>
      </c>
      <c r="B113" s="3" t="s">
        <v>45</v>
      </c>
      <c r="C113" s="7" t="s">
        <v>10</v>
      </c>
      <c r="D113" s="7">
        <v>70</v>
      </c>
      <c r="E113" s="3">
        <f t="shared" si="3"/>
        <v>70</v>
      </c>
      <c r="F113" s="7" t="s">
        <v>11</v>
      </c>
      <c r="G113" s="3"/>
    </row>
    <row r="114" spans="1:7" x14ac:dyDescent="0.25">
      <c r="A114" s="3" t="s">
        <v>8</v>
      </c>
      <c r="B114" s="3" t="s">
        <v>46</v>
      </c>
      <c r="C114" s="7" t="s">
        <v>14</v>
      </c>
      <c r="D114" s="7">
        <v>70</v>
      </c>
      <c r="E114" s="3">
        <f t="shared" si="3"/>
        <v>70</v>
      </c>
      <c r="F114" s="7" t="s">
        <v>11</v>
      </c>
      <c r="G114" s="3"/>
    </row>
    <row r="115" spans="1:7" x14ac:dyDescent="0.25">
      <c r="A115" s="3" t="s">
        <v>8</v>
      </c>
      <c r="B115" s="3" t="s">
        <v>56</v>
      </c>
      <c r="C115" s="7" t="s">
        <v>14</v>
      </c>
      <c r="D115" s="7">
        <v>70</v>
      </c>
      <c r="E115" s="3">
        <f t="shared" si="3"/>
        <v>70</v>
      </c>
      <c r="F115" s="7" t="s">
        <v>11</v>
      </c>
      <c r="G115" s="3"/>
    </row>
    <row r="116" spans="1:7" x14ac:dyDescent="0.25">
      <c r="A116" s="3" t="s">
        <v>8</v>
      </c>
      <c r="B116" s="3" t="s">
        <v>78</v>
      </c>
      <c r="C116" s="7" t="s">
        <v>17</v>
      </c>
      <c r="D116" s="7">
        <v>70</v>
      </c>
      <c r="E116" s="3">
        <f t="shared" si="3"/>
        <v>70</v>
      </c>
      <c r="F116" s="7" t="s">
        <v>32</v>
      </c>
      <c r="G116" s="3"/>
    </row>
    <row r="117" spans="1:7" x14ac:dyDescent="0.25">
      <c r="A117" s="3" t="s">
        <v>8</v>
      </c>
      <c r="B117" s="3" t="s">
        <v>87</v>
      </c>
      <c r="C117" s="7" t="s">
        <v>10</v>
      </c>
      <c r="D117" s="7">
        <v>70</v>
      </c>
      <c r="E117" s="3">
        <f t="shared" si="3"/>
        <v>70</v>
      </c>
      <c r="F117" s="7" t="s">
        <v>11</v>
      </c>
      <c r="G117" s="3"/>
    </row>
    <row r="118" spans="1:7" x14ac:dyDescent="0.25">
      <c r="A118" s="3" t="s">
        <v>8</v>
      </c>
      <c r="B118" s="3" t="s">
        <v>94</v>
      </c>
      <c r="C118" s="7" t="s">
        <v>10</v>
      </c>
      <c r="D118" s="7">
        <v>70</v>
      </c>
      <c r="E118" s="3">
        <f t="shared" si="3"/>
        <v>70</v>
      </c>
      <c r="F118" s="7" t="s">
        <v>24</v>
      </c>
      <c r="G118" s="3"/>
    </row>
    <row r="119" spans="1:7" x14ac:dyDescent="0.25">
      <c r="A119" s="3" t="s">
        <v>8</v>
      </c>
      <c r="B119" s="3" t="s">
        <v>101</v>
      </c>
      <c r="C119" s="7" t="s">
        <v>10</v>
      </c>
      <c r="D119" s="7">
        <v>70</v>
      </c>
      <c r="E119" s="3">
        <f t="shared" si="3"/>
        <v>70</v>
      </c>
      <c r="F119" s="7" t="s">
        <v>32</v>
      </c>
      <c r="G119" s="3"/>
    </row>
    <row r="120" spans="1:7" x14ac:dyDescent="0.25">
      <c r="A120" s="3" t="s">
        <v>8</v>
      </c>
      <c r="B120" s="3" t="s">
        <v>103</v>
      </c>
      <c r="C120" s="7" t="s">
        <v>17</v>
      </c>
      <c r="D120" s="7">
        <v>70</v>
      </c>
      <c r="E120" s="3">
        <f t="shared" si="3"/>
        <v>70</v>
      </c>
      <c r="F120" s="7" t="s">
        <v>11</v>
      </c>
      <c r="G120" s="3"/>
    </row>
    <row r="121" spans="1:7" x14ac:dyDescent="0.25">
      <c r="A121" s="3" t="s">
        <v>8</v>
      </c>
      <c r="B121" s="3" t="s">
        <v>107</v>
      </c>
      <c r="C121" s="7" t="s">
        <v>39</v>
      </c>
      <c r="D121" s="7">
        <v>70</v>
      </c>
      <c r="E121" s="3">
        <f t="shared" si="3"/>
        <v>70</v>
      </c>
      <c r="F121" s="7" t="s">
        <v>11</v>
      </c>
      <c r="G121" s="3"/>
    </row>
    <row r="122" spans="1:7" x14ac:dyDescent="0.25">
      <c r="A122" s="3" t="s">
        <v>8</v>
      </c>
      <c r="B122" s="3" t="s">
        <v>119</v>
      </c>
      <c r="C122" s="7" t="s">
        <v>17</v>
      </c>
      <c r="D122" s="7">
        <v>70</v>
      </c>
      <c r="E122" s="3">
        <f t="shared" si="3"/>
        <v>70</v>
      </c>
      <c r="F122" s="7" t="s">
        <v>32</v>
      </c>
      <c r="G122" s="3"/>
    </row>
    <row r="123" spans="1:7" x14ac:dyDescent="0.25">
      <c r="A123" s="3" t="s">
        <v>8</v>
      </c>
      <c r="B123" s="3" t="s">
        <v>128</v>
      </c>
      <c r="C123" s="7" t="s">
        <v>14</v>
      </c>
      <c r="D123" s="7">
        <v>70</v>
      </c>
      <c r="E123" s="3">
        <f t="shared" si="3"/>
        <v>70</v>
      </c>
      <c r="F123" s="7" t="s">
        <v>11</v>
      </c>
      <c r="G123" s="3"/>
    </row>
    <row r="124" spans="1:7" x14ac:dyDescent="0.25">
      <c r="A124" s="3" t="s">
        <v>8</v>
      </c>
      <c r="B124" s="3" t="s">
        <v>129</v>
      </c>
      <c r="C124" s="7" t="s">
        <v>39</v>
      </c>
      <c r="D124" s="7">
        <v>70</v>
      </c>
      <c r="E124" s="3">
        <f t="shared" si="3"/>
        <v>70</v>
      </c>
      <c r="F124" s="7" t="s">
        <v>32</v>
      </c>
      <c r="G124" s="3"/>
    </row>
    <row r="125" spans="1:7" x14ac:dyDescent="0.25">
      <c r="A125" s="3" t="s">
        <v>8</v>
      </c>
      <c r="B125" s="3" t="s">
        <v>131</v>
      </c>
      <c r="C125" s="7" t="s">
        <v>39</v>
      </c>
      <c r="D125" s="7">
        <v>70</v>
      </c>
      <c r="E125" s="3">
        <f t="shared" si="3"/>
        <v>70</v>
      </c>
      <c r="F125" s="7" t="s">
        <v>24</v>
      </c>
      <c r="G125" s="3"/>
    </row>
    <row r="126" spans="1:7" x14ac:dyDescent="0.25">
      <c r="A126" s="3" t="s">
        <v>8</v>
      </c>
      <c r="B126" s="3" t="s">
        <v>131</v>
      </c>
      <c r="C126" s="7" t="s">
        <v>17</v>
      </c>
      <c r="D126" s="7"/>
      <c r="E126" s="3">
        <f t="shared" ref="E126:E157" si="4">IF(D126=85, 80, D126)</f>
        <v>0</v>
      </c>
      <c r="F126" s="7"/>
      <c r="G126" s="3"/>
    </row>
    <row r="127" spans="1:7" x14ac:dyDescent="0.25">
      <c r="A127" s="3" t="s">
        <v>8</v>
      </c>
      <c r="B127" s="3" t="s">
        <v>149</v>
      </c>
      <c r="C127" s="7" t="s">
        <v>14</v>
      </c>
      <c r="D127" s="7">
        <v>70</v>
      </c>
      <c r="E127" s="3">
        <f t="shared" si="4"/>
        <v>70</v>
      </c>
      <c r="F127" s="7" t="s">
        <v>11</v>
      </c>
      <c r="G127" s="3"/>
    </row>
    <row r="128" spans="1:7" x14ac:dyDescent="0.25">
      <c r="A128" s="3" t="s">
        <v>8</v>
      </c>
      <c r="B128" s="3" t="s">
        <v>152</v>
      </c>
      <c r="C128" s="7" t="s">
        <v>17</v>
      </c>
      <c r="D128" s="7">
        <v>70</v>
      </c>
      <c r="E128" s="3">
        <f t="shared" si="4"/>
        <v>70</v>
      </c>
      <c r="F128" s="7" t="s">
        <v>18</v>
      </c>
      <c r="G128" s="3"/>
    </row>
    <row r="129" spans="1:7" x14ac:dyDescent="0.25">
      <c r="A129" s="3" t="s">
        <v>8</v>
      </c>
      <c r="B129" s="3" t="s">
        <v>155</v>
      </c>
      <c r="C129" s="7" t="s">
        <v>14</v>
      </c>
      <c r="D129" s="7">
        <v>70</v>
      </c>
      <c r="E129" s="3">
        <f t="shared" si="4"/>
        <v>70</v>
      </c>
      <c r="F129" s="7" t="s">
        <v>32</v>
      </c>
      <c r="G129" s="3"/>
    </row>
    <row r="130" spans="1:7" x14ac:dyDescent="0.25">
      <c r="A130" s="3" t="s">
        <v>8</v>
      </c>
      <c r="B130" s="3" t="s">
        <v>159</v>
      </c>
      <c r="C130" s="7" t="s">
        <v>17</v>
      </c>
      <c r="D130" s="7">
        <v>70</v>
      </c>
      <c r="E130" s="3">
        <f t="shared" si="4"/>
        <v>70</v>
      </c>
      <c r="F130" s="7" t="s">
        <v>24</v>
      </c>
      <c r="G130" s="3"/>
    </row>
    <row r="131" spans="1:7" x14ac:dyDescent="0.25">
      <c r="A131" s="3" t="s">
        <v>8</v>
      </c>
      <c r="B131" s="3" t="s">
        <v>161</v>
      </c>
      <c r="C131" s="7" t="s">
        <v>10</v>
      </c>
      <c r="D131" s="7">
        <v>70</v>
      </c>
      <c r="E131" s="3">
        <f t="shared" si="4"/>
        <v>70</v>
      </c>
      <c r="F131" s="7" t="s">
        <v>18</v>
      </c>
      <c r="G131" s="3"/>
    </row>
    <row r="132" spans="1:7" x14ac:dyDescent="0.25">
      <c r="A132" s="3" t="s">
        <v>8</v>
      </c>
      <c r="B132" s="3" t="s">
        <v>163</v>
      </c>
      <c r="C132" s="7" t="s">
        <v>17</v>
      </c>
      <c r="D132" s="7">
        <v>70</v>
      </c>
      <c r="E132" s="3">
        <f t="shared" si="4"/>
        <v>70</v>
      </c>
      <c r="F132" s="7" t="s">
        <v>11</v>
      </c>
      <c r="G132" s="3"/>
    </row>
    <row r="133" spans="1:7" x14ac:dyDescent="0.25">
      <c r="A133" s="3" t="s">
        <v>8</v>
      </c>
      <c r="B133" s="3" t="s">
        <v>170</v>
      </c>
      <c r="C133" s="7" t="s">
        <v>10</v>
      </c>
      <c r="D133" s="7">
        <v>70</v>
      </c>
      <c r="E133" s="3">
        <f t="shared" si="4"/>
        <v>70</v>
      </c>
      <c r="F133" s="7" t="s">
        <v>11</v>
      </c>
      <c r="G133" s="3"/>
    </row>
    <row r="134" spans="1:7" x14ac:dyDescent="0.25">
      <c r="A134" s="3" t="s">
        <v>8</v>
      </c>
      <c r="B134" s="3" t="s">
        <v>174</v>
      </c>
      <c r="C134" s="7" t="s">
        <v>39</v>
      </c>
      <c r="D134" s="7">
        <v>70</v>
      </c>
      <c r="E134" s="3">
        <f t="shared" si="4"/>
        <v>70</v>
      </c>
      <c r="F134" s="7" t="s">
        <v>60</v>
      </c>
      <c r="G134" s="3"/>
    </row>
    <row r="135" spans="1:7" x14ac:dyDescent="0.25">
      <c r="A135" s="3" t="s">
        <v>8</v>
      </c>
      <c r="B135" s="3" t="s">
        <v>178</v>
      </c>
      <c r="C135" s="7" t="s">
        <v>10</v>
      </c>
      <c r="D135" s="7">
        <v>70</v>
      </c>
      <c r="E135" s="3">
        <f t="shared" si="4"/>
        <v>70</v>
      </c>
      <c r="F135" s="7" t="s">
        <v>32</v>
      </c>
      <c r="G135" s="3"/>
    </row>
    <row r="136" spans="1:7" x14ac:dyDescent="0.25">
      <c r="A136" s="3" t="s">
        <v>8</v>
      </c>
      <c r="B136" s="3" t="s">
        <v>179</v>
      </c>
      <c r="C136" s="7" t="s">
        <v>39</v>
      </c>
      <c r="D136" s="7">
        <v>70</v>
      </c>
      <c r="E136" s="3">
        <f t="shared" si="4"/>
        <v>70</v>
      </c>
      <c r="F136" s="7" t="s">
        <v>11</v>
      </c>
      <c r="G136" s="3"/>
    </row>
    <row r="137" spans="1:7" x14ac:dyDescent="0.25">
      <c r="A137" s="3" t="s">
        <v>8</v>
      </c>
      <c r="B137" s="7" t="s">
        <v>201</v>
      </c>
      <c r="C137" s="7" t="s">
        <v>14</v>
      </c>
      <c r="D137" s="7">
        <v>70</v>
      </c>
      <c r="E137" s="3">
        <f t="shared" si="4"/>
        <v>70</v>
      </c>
      <c r="F137" s="7" t="s">
        <v>18</v>
      </c>
      <c r="G137" s="3"/>
    </row>
    <row r="138" spans="1:7" x14ac:dyDescent="0.25">
      <c r="A138" s="3" t="s">
        <v>8</v>
      </c>
      <c r="B138" s="7" t="s">
        <v>205</v>
      </c>
      <c r="C138" s="7" t="s">
        <v>17</v>
      </c>
      <c r="D138" s="7">
        <v>70</v>
      </c>
      <c r="E138" s="3">
        <f t="shared" si="4"/>
        <v>70</v>
      </c>
      <c r="F138" s="7" t="s">
        <v>18</v>
      </c>
      <c r="G138" s="3"/>
    </row>
    <row r="139" spans="1:7" x14ac:dyDescent="0.25">
      <c r="A139" s="3" t="s">
        <v>8</v>
      </c>
      <c r="B139" s="3" t="s">
        <v>50</v>
      </c>
      <c r="C139" s="7" t="s">
        <v>17</v>
      </c>
      <c r="D139" s="7">
        <v>85</v>
      </c>
      <c r="E139" s="3">
        <f t="shared" si="4"/>
        <v>80</v>
      </c>
      <c r="F139" s="7" t="s">
        <v>11</v>
      </c>
      <c r="G139" s="3"/>
    </row>
    <row r="140" spans="1:7" x14ac:dyDescent="0.25">
      <c r="A140" s="3" t="s">
        <v>8</v>
      </c>
      <c r="B140" s="3" t="s">
        <v>51</v>
      </c>
      <c r="C140" s="7" t="s">
        <v>14</v>
      </c>
      <c r="D140" s="7">
        <v>85</v>
      </c>
      <c r="E140" s="3">
        <f t="shared" si="4"/>
        <v>80</v>
      </c>
      <c r="F140" s="7" t="s">
        <v>52</v>
      </c>
      <c r="G140" s="3"/>
    </row>
    <row r="141" spans="1:7" x14ac:dyDescent="0.25">
      <c r="A141" s="3" t="s">
        <v>8</v>
      </c>
      <c r="B141" s="3" t="s">
        <v>58</v>
      </c>
      <c r="C141" s="7" t="s">
        <v>17</v>
      </c>
      <c r="D141" s="7">
        <v>85</v>
      </c>
      <c r="E141" s="3">
        <f t="shared" si="4"/>
        <v>80</v>
      </c>
      <c r="F141" s="7" t="s">
        <v>11</v>
      </c>
      <c r="G141" s="3"/>
    </row>
    <row r="142" spans="1:7" x14ac:dyDescent="0.25">
      <c r="A142" s="3" t="s">
        <v>8</v>
      </c>
      <c r="B142" s="3" t="s">
        <v>70</v>
      </c>
      <c r="C142" s="7" t="s">
        <v>17</v>
      </c>
      <c r="D142" s="7">
        <v>85</v>
      </c>
      <c r="E142" s="3">
        <f t="shared" si="4"/>
        <v>80</v>
      </c>
      <c r="F142" s="7" t="s">
        <v>11</v>
      </c>
      <c r="G142" s="3"/>
    </row>
    <row r="143" spans="1:7" x14ac:dyDescent="0.25">
      <c r="A143" s="3" t="s">
        <v>8</v>
      </c>
      <c r="B143" s="3" t="s">
        <v>73</v>
      </c>
      <c r="C143" s="7" t="s">
        <v>10</v>
      </c>
      <c r="D143" s="7">
        <v>85</v>
      </c>
      <c r="E143" s="3">
        <f t="shared" si="4"/>
        <v>80</v>
      </c>
      <c r="F143" s="7" t="s">
        <v>11</v>
      </c>
      <c r="G143" s="3"/>
    </row>
    <row r="144" spans="1:7" x14ac:dyDescent="0.25">
      <c r="A144" s="3" t="s">
        <v>8</v>
      </c>
      <c r="B144" s="3" t="s">
        <v>74</v>
      </c>
      <c r="C144" s="7" t="s">
        <v>10</v>
      </c>
      <c r="D144" s="7">
        <v>85</v>
      </c>
      <c r="E144" s="3">
        <f t="shared" si="4"/>
        <v>80</v>
      </c>
      <c r="F144" s="7" t="s">
        <v>32</v>
      </c>
      <c r="G144" s="3"/>
    </row>
    <row r="145" spans="1:7" x14ac:dyDescent="0.25">
      <c r="A145" s="3" t="s">
        <v>8</v>
      </c>
      <c r="B145" s="3" t="s">
        <v>79</v>
      </c>
      <c r="C145" s="7" t="s">
        <v>39</v>
      </c>
      <c r="D145" s="7">
        <v>85</v>
      </c>
      <c r="E145" s="3">
        <f t="shared" si="4"/>
        <v>80</v>
      </c>
      <c r="F145" s="7" t="s">
        <v>32</v>
      </c>
      <c r="G145" s="3"/>
    </row>
    <row r="146" spans="1:7" x14ac:dyDescent="0.25">
      <c r="A146" s="3" t="s">
        <v>8</v>
      </c>
      <c r="B146" s="3" t="s">
        <v>81</v>
      </c>
      <c r="C146" s="7" t="s">
        <v>14</v>
      </c>
      <c r="D146" s="7">
        <v>85</v>
      </c>
      <c r="E146" s="3">
        <f t="shared" si="4"/>
        <v>80</v>
      </c>
      <c r="F146" s="7" t="s">
        <v>11</v>
      </c>
      <c r="G146" s="3"/>
    </row>
    <row r="147" spans="1:7" x14ac:dyDescent="0.25">
      <c r="A147" s="3" t="s">
        <v>8</v>
      </c>
      <c r="B147" s="3" t="s">
        <v>88</v>
      </c>
      <c r="C147" s="7" t="s">
        <v>10</v>
      </c>
      <c r="D147" s="7">
        <v>85</v>
      </c>
      <c r="E147" s="3">
        <f t="shared" si="4"/>
        <v>80</v>
      </c>
      <c r="F147" s="7" t="s">
        <v>18</v>
      </c>
      <c r="G147" s="3"/>
    </row>
    <row r="148" spans="1:7" x14ac:dyDescent="0.25">
      <c r="A148" s="3" t="s">
        <v>8</v>
      </c>
      <c r="B148" s="3" t="s">
        <v>91</v>
      </c>
      <c r="C148" s="7" t="s">
        <v>10</v>
      </c>
      <c r="D148" s="7">
        <v>85</v>
      </c>
      <c r="E148" s="3">
        <f t="shared" si="4"/>
        <v>80</v>
      </c>
      <c r="F148" s="7" t="s">
        <v>52</v>
      </c>
      <c r="G148" s="3"/>
    </row>
    <row r="149" spans="1:7" x14ac:dyDescent="0.25">
      <c r="A149" s="3" t="s">
        <v>8</v>
      </c>
      <c r="B149" s="3" t="s">
        <v>100</v>
      </c>
      <c r="C149" s="7" t="s">
        <v>10</v>
      </c>
      <c r="D149" s="7">
        <v>85</v>
      </c>
      <c r="E149" s="3">
        <f t="shared" si="4"/>
        <v>80</v>
      </c>
      <c r="F149" s="7" t="s">
        <v>18</v>
      </c>
      <c r="G149" s="3"/>
    </row>
    <row r="150" spans="1:7" x14ac:dyDescent="0.25">
      <c r="A150" s="3" t="s">
        <v>8</v>
      </c>
      <c r="B150" s="3" t="s">
        <v>102</v>
      </c>
      <c r="C150" s="7" t="s">
        <v>14</v>
      </c>
      <c r="D150" s="7">
        <v>85</v>
      </c>
      <c r="E150" s="3">
        <f t="shared" si="4"/>
        <v>80</v>
      </c>
      <c r="F150" s="7" t="s">
        <v>11</v>
      </c>
      <c r="G150" s="3"/>
    </row>
    <row r="151" spans="1:7" x14ac:dyDescent="0.25">
      <c r="A151" s="3" t="s">
        <v>8</v>
      </c>
      <c r="B151" s="3" t="s">
        <v>106</v>
      </c>
      <c r="C151" s="7" t="s">
        <v>17</v>
      </c>
      <c r="D151" s="7">
        <v>85</v>
      </c>
      <c r="E151" s="3">
        <f t="shared" si="4"/>
        <v>80</v>
      </c>
      <c r="F151" s="7" t="s">
        <v>60</v>
      </c>
      <c r="G151" s="3"/>
    </row>
    <row r="152" spans="1:7" x14ac:dyDescent="0.25">
      <c r="A152" s="3" t="s">
        <v>8</v>
      </c>
      <c r="B152" s="3" t="s">
        <v>110</v>
      </c>
      <c r="C152" s="7" t="s">
        <v>10</v>
      </c>
      <c r="D152" s="7">
        <v>85</v>
      </c>
      <c r="E152" s="3">
        <f t="shared" si="4"/>
        <v>80</v>
      </c>
      <c r="F152" s="7" t="s">
        <v>60</v>
      </c>
      <c r="G152" s="3"/>
    </row>
    <row r="153" spans="1:7" x14ac:dyDescent="0.25">
      <c r="A153" s="3" t="s">
        <v>8</v>
      </c>
      <c r="B153" s="3" t="s">
        <v>112</v>
      </c>
      <c r="C153" s="7" t="s">
        <v>10</v>
      </c>
      <c r="D153" s="7">
        <v>85</v>
      </c>
      <c r="E153" s="3">
        <f t="shared" si="4"/>
        <v>80</v>
      </c>
      <c r="F153" s="7" t="s">
        <v>11</v>
      </c>
      <c r="G153" s="3"/>
    </row>
    <row r="154" spans="1:7" x14ac:dyDescent="0.25">
      <c r="A154" s="3" t="s">
        <v>8</v>
      </c>
      <c r="B154" s="3" t="s">
        <v>117</v>
      </c>
      <c r="C154" s="7" t="s">
        <v>14</v>
      </c>
      <c r="D154" s="7">
        <v>85</v>
      </c>
      <c r="E154" s="3">
        <f t="shared" si="4"/>
        <v>80</v>
      </c>
      <c r="F154" s="7" t="s">
        <v>11</v>
      </c>
      <c r="G154" s="3"/>
    </row>
    <row r="155" spans="1:7" x14ac:dyDescent="0.25">
      <c r="A155" s="3" t="s">
        <v>8</v>
      </c>
      <c r="B155" s="3" t="s">
        <v>120</v>
      </c>
      <c r="C155" s="7" t="s">
        <v>39</v>
      </c>
      <c r="D155" s="7">
        <v>85</v>
      </c>
      <c r="E155" s="3">
        <f t="shared" si="4"/>
        <v>80</v>
      </c>
      <c r="F155" s="7" t="s">
        <v>32</v>
      </c>
      <c r="G155" s="3"/>
    </row>
    <row r="156" spans="1:7" x14ac:dyDescent="0.25">
      <c r="A156" s="3" t="s">
        <v>8</v>
      </c>
      <c r="B156" s="3" t="s">
        <v>125</v>
      </c>
      <c r="C156" s="7" t="s">
        <v>39</v>
      </c>
      <c r="D156" s="7">
        <v>85</v>
      </c>
      <c r="E156" s="3">
        <f t="shared" si="4"/>
        <v>80</v>
      </c>
      <c r="F156" s="7" t="s">
        <v>24</v>
      </c>
      <c r="G156" s="3"/>
    </row>
    <row r="157" spans="1:7" x14ac:dyDescent="0.25">
      <c r="A157" s="3" t="s">
        <v>8</v>
      </c>
      <c r="B157" s="3" t="s">
        <v>126</v>
      </c>
      <c r="C157" s="7" t="s">
        <v>14</v>
      </c>
      <c r="D157" s="7">
        <v>85</v>
      </c>
      <c r="E157" s="3">
        <f t="shared" si="4"/>
        <v>80</v>
      </c>
      <c r="F157" s="7" t="s">
        <v>52</v>
      </c>
      <c r="G157" s="3"/>
    </row>
    <row r="158" spans="1:7" x14ac:dyDescent="0.25">
      <c r="A158" s="3" t="s">
        <v>8</v>
      </c>
      <c r="B158" s="3" t="s">
        <v>137</v>
      </c>
      <c r="C158" s="7" t="s">
        <v>14</v>
      </c>
      <c r="D158" s="7">
        <v>85</v>
      </c>
      <c r="E158" s="3">
        <f t="shared" ref="E158:E188" si="5">IF(D158=85, 80, D158)</f>
        <v>80</v>
      </c>
      <c r="F158" s="7" t="s">
        <v>52</v>
      </c>
      <c r="G158" s="3"/>
    </row>
    <row r="159" spans="1:7" x14ac:dyDescent="0.25">
      <c r="A159" s="3" t="s">
        <v>8</v>
      </c>
      <c r="B159" s="3" t="s">
        <v>146</v>
      </c>
      <c r="C159" s="7" t="s">
        <v>14</v>
      </c>
      <c r="D159" s="7">
        <v>85</v>
      </c>
      <c r="E159" s="3">
        <f t="shared" si="5"/>
        <v>80</v>
      </c>
      <c r="F159" s="7" t="s">
        <v>11</v>
      </c>
      <c r="G159" s="3"/>
    </row>
    <row r="160" spans="1:7" x14ac:dyDescent="0.25">
      <c r="A160" s="3" t="s">
        <v>8</v>
      </c>
      <c r="B160" s="3" t="s">
        <v>162</v>
      </c>
      <c r="C160" s="7" t="s">
        <v>158</v>
      </c>
      <c r="D160" s="7">
        <v>85</v>
      </c>
      <c r="E160" s="3">
        <f t="shared" si="5"/>
        <v>80</v>
      </c>
      <c r="F160" s="7" t="s">
        <v>52</v>
      </c>
      <c r="G160" s="3"/>
    </row>
    <row r="161" spans="1:7" x14ac:dyDescent="0.25">
      <c r="A161" s="3" t="s">
        <v>8</v>
      </c>
      <c r="B161" s="3" t="s">
        <v>164</v>
      </c>
      <c r="C161" s="7" t="s">
        <v>14</v>
      </c>
      <c r="D161" s="7">
        <v>85</v>
      </c>
      <c r="E161" s="3">
        <f t="shared" si="5"/>
        <v>80</v>
      </c>
      <c r="F161" s="7" t="s">
        <v>60</v>
      </c>
      <c r="G161" s="3"/>
    </row>
    <row r="162" spans="1:7" x14ac:dyDescent="0.25">
      <c r="A162" s="3" t="s">
        <v>8</v>
      </c>
      <c r="B162" s="3" t="s">
        <v>181</v>
      </c>
      <c r="C162" s="7" t="s">
        <v>10</v>
      </c>
      <c r="D162" s="7">
        <v>85</v>
      </c>
      <c r="E162" s="3">
        <f t="shared" si="5"/>
        <v>80</v>
      </c>
      <c r="F162" s="3"/>
      <c r="G162" s="3"/>
    </row>
    <row r="163" spans="1:7" x14ac:dyDescent="0.25">
      <c r="A163" s="3" t="s">
        <v>8</v>
      </c>
      <c r="B163" s="3" t="s">
        <v>187</v>
      </c>
      <c r="C163" s="7" t="s">
        <v>14</v>
      </c>
      <c r="D163" s="7">
        <v>85</v>
      </c>
      <c r="E163" s="3">
        <f t="shared" si="5"/>
        <v>80</v>
      </c>
      <c r="F163" s="7" t="s">
        <v>11</v>
      </c>
      <c r="G163" s="3"/>
    </row>
    <row r="164" spans="1:7" x14ac:dyDescent="0.25">
      <c r="A164" s="3" t="s">
        <v>8</v>
      </c>
      <c r="B164" s="7" t="s">
        <v>203</v>
      </c>
      <c r="C164" s="7" t="s">
        <v>17</v>
      </c>
      <c r="D164" s="7">
        <v>85</v>
      </c>
      <c r="E164" s="3">
        <f t="shared" si="5"/>
        <v>80</v>
      </c>
      <c r="F164" s="7" t="s">
        <v>18</v>
      </c>
      <c r="G164" s="3"/>
    </row>
    <row r="165" spans="1:7" x14ac:dyDescent="0.25">
      <c r="A165" s="3" t="s">
        <v>8</v>
      </c>
      <c r="B165" s="7" t="s">
        <v>204</v>
      </c>
      <c r="C165" s="7" t="s">
        <v>14</v>
      </c>
      <c r="D165" s="7">
        <v>85</v>
      </c>
      <c r="E165" s="3">
        <f t="shared" si="5"/>
        <v>80</v>
      </c>
      <c r="F165" s="7" t="s">
        <v>18</v>
      </c>
      <c r="G165" s="3"/>
    </row>
    <row r="166" spans="1:7" x14ac:dyDescent="0.25">
      <c r="A166" s="3" t="s">
        <v>8</v>
      </c>
      <c r="B166" s="3" t="s">
        <v>49</v>
      </c>
      <c r="C166" s="7" t="s">
        <v>10</v>
      </c>
      <c r="D166" s="7">
        <v>100</v>
      </c>
      <c r="E166" s="3">
        <f t="shared" si="5"/>
        <v>100</v>
      </c>
      <c r="F166" s="7" t="s">
        <v>11</v>
      </c>
      <c r="G166" s="3"/>
    </row>
    <row r="167" spans="1:7" x14ac:dyDescent="0.25">
      <c r="A167" s="3" t="s">
        <v>8</v>
      </c>
      <c r="B167" s="3" t="s">
        <v>59</v>
      </c>
      <c r="C167" s="7" t="s">
        <v>39</v>
      </c>
      <c r="D167" s="7">
        <v>100</v>
      </c>
      <c r="E167" s="3">
        <f t="shared" si="5"/>
        <v>100</v>
      </c>
      <c r="F167" s="7" t="s">
        <v>60</v>
      </c>
      <c r="G167" s="3"/>
    </row>
    <row r="168" spans="1:7" x14ac:dyDescent="0.25">
      <c r="A168" s="3" t="s">
        <v>8</v>
      </c>
      <c r="B168" s="3" t="s">
        <v>84</v>
      </c>
      <c r="C168" s="7" t="s">
        <v>17</v>
      </c>
      <c r="D168" s="7">
        <v>100</v>
      </c>
      <c r="E168" s="3">
        <f t="shared" si="5"/>
        <v>100</v>
      </c>
      <c r="F168" s="7" t="s">
        <v>60</v>
      </c>
      <c r="G168" s="3"/>
    </row>
    <row r="169" spans="1:7" x14ac:dyDescent="0.25">
      <c r="A169" s="3" t="s">
        <v>8</v>
      </c>
      <c r="B169" s="3" t="s">
        <v>85</v>
      </c>
      <c r="C169" s="7" t="s">
        <v>10</v>
      </c>
      <c r="D169" s="7">
        <v>100</v>
      </c>
      <c r="E169" s="3">
        <f t="shared" si="5"/>
        <v>100</v>
      </c>
      <c r="F169" s="7" t="s">
        <v>32</v>
      </c>
      <c r="G169" s="3"/>
    </row>
    <row r="170" spans="1:7" x14ac:dyDescent="0.25">
      <c r="A170" s="3" t="s">
        <v>8</v>
      </c>
      <c r="B170" s="3" t="s">
        <v>89</v>
      </c>
      <c r="C170" s="7" t="s">
        <v>17</v>
      </c>
      <c r="D170" s="7">
        <v>100</v>
      </c>
      <c r="E170" s="3">
        <f t="shared" si="5"/>
        <v>100</v>
      </c>
      <c r="F170" s="7" t="s">
        <v>11</v>
      </c>
      <c r="G170" s="3"/>
    </row>
    <row r="171" spans="1:7" x14ac:dyDescent="0.25">
      <c r="A171" s="3" t="s">
        <v>8</v>
      </c>
      <c r="B171" s="3" t="s">
        <v>95</v>
      </c>
      <c r="C171" s="7" t="s">
        <v>14</v>
      </c>
      <c r="D171" s="7">
        <v>100</v>
      </c>
      <c r="E171" s="3">
        <f t="shared" si="5"/>
        <v>100</v>
      </c>
      <c r="F171" s="7" t="s">
        <v>18</v>
      </c>
      <c r="G171" s="3"/>
    </row>
    <row r="172" spans="1:7" x14ac:dyDescent="0.25">
      <c r="A172" s="3" t="s">
        <v>8</v>
      </c>
      <c r="B172" s="3" t="s">
        <v>105</v>
      </c>
      <c r="C172" s="7" t="s">
        <v>17</v>
      </c>
      <c r="D172" s="7">
        <v>100</v>
      </c>
      <c r="E172" s="3">
        <f t="shared" si="5"/>
        <v>100</v>
      </c>
      <c r="F172" s="7" t="s">
        <v>60</v>
      </c>
      <c r="G172" s="3"/>
    </row>
    <row r="173" spans="1:7" x14ac:dyDescent="0.25">
      <c r="A173" s="3" t="s">
        <v>8</v>
      </c>
      <c r="B173" s="3" t="s">
        <v>111</v>
      </c>
      <c r="C173" s="7" t="s">
        <v>14</v>
      </c>
      <c r="D173" s="7">
        <v>100</v>
      </c>
      <c r="E173" s="3">
        <f t="shared" si="5"/>
        <v>100</v>
      </c>
      <c r="F173" s="7" t="s">
        <v>60</v>
      </c>
      <c r="G173" s="3"/>
    </row>
    <row r="174" spans="1:7" x14ac:dyDescent="0.25">
      <c r="A174" s="3" t="s">
        <v>8</v>
      </c>
      <c r="B174" s="3" t="s">
        <v>123</v>
      </c>
      <c r="C174" s="7" t="s">
        <v>17</v>
      </c>
      <c r="D174" s="7">
        <v>100</v>
      </c>
      <c r="E174" s="3">
        <f t="shared" si="5"/>
        <v>100</v>
      </c>
      <c r="F174" s="7" t="s">
        <v>60</v>
      </c>
      <c r="G174" s="3"/>
    </row>
    <row r="175" spans="1:7" x14ac:dyDescent="0.25">
      <c r="A175" s="3" t="s">
        <v>8</v>
      </c>
      <c r="B175" s="3" t="s">
        <v>133</v>
      </c>
      <c r="C175" s="7" t="s">
        <v>10</v>
      </c>
      <c r="D175" s="7">
        <v>100</v>
      </c>
      <c r="E175" s="3">
        <f t="shared" si="5"/>
        <v>100</v>
      </c>
      <c r="F175" s="7" t="s">
        <v>60</v>
      </c>
      <c r="G175" s="3"/>
    </row>
    <row r="176" spans="1:7" x14ac:dyDescent="0.25">
      <c r="A176" s="3" t="s">
        <v>8</v>
      </c>
      <c r="B176" s="3" t="s">
        <v>136</v>
      </c>
      <c r="C176" s="7" t="s">
        <v>39</v>
      </c>
      <c r="D176" s="7">
        <v>100</v>
      </c>
      <c r="E176" s="3">
        <f t="shared" si="5"/>
        <v>100</v>
      </c>
      <c r="F176" s="7" t="s">
        <v>60</v>
      </c>
      <c r="G176" s="3"/>
    </row>
    <row r="177" spans="1:7" x14ac:dyDescent="0.25">
      <c r="A177" s="3" t="s">
        <v>8</v>
      </c>
      <c r="B177" s="3" t="s">
        <v>160</v>
      </c>
      <c r="C177" s="7" t="s">
        <v>39</v>
      </c>
      <c r="D177" s="7">
        <v>100</v>
      </c>
      <c r="E177" s="3">
        <f t="shared" si="5"/>
        <v>100</v>
      </c>
      <c r="F177" s="7" t="s">
        <v>24</v>
      </c>
      <c r="G177" s="3"/>
    </row>
    <row r="178" spans="1:7" x14ac:dyDescent="0.25">
      <c r="A178" s="3" t="s">
        <v>8</v>
      </c>
      <c r="B178" s="3" t="s">
        <v>186</v>
      </c>
      <c r="C178" s="7" t="s">
        <v>158</v>
      </c>
      <c r="D178" s="7">
        <v>100</v>
      </c>
      <c r="E178" s="3">
        <f t="shared" si="5"/>
        <v>100</v>
      </c>
      <c r="F178" s="7" t="s">
        <v>60</v>
      </c>
      <c r="G178" s="3"/>
    </row>
    <row r="179" spans="1:7" x14ac:dyDescent="0.25">
      <c r="A179" s="3" t="s">
        <v>8</v>
      </c>
      <c r="B179" s="3" t="s">
        <v>190</v>
      </c>
      <c r="C179" s="7" t="s">
        <v>10</v>
      </c>
      <c r="D179" s="7">
        <v>100</v>
      </c>
      <c r="E179" s="3">
        <f t="shared" si="5"/>
        <v>100</v>
      </c>
      <c r="F179" s="7" t="s">
        <v>52</v>
      </c>
      <c r="G179" s="3"/>
    </row>
    <row r="180" spans="1:7" x14ac:dyDescent="0.25">
      <c r="A180" s="3" t="s">
        <v>8</v>
      </c>
      <c r="B180" s="7" t="s">
        <v>197</v>
      </c>
      <c r="C180" s="7" t="s">
        <v>10</v>
      </c>
      <c r="D180" s="7">
        <v>100</v>
      </c>
      <c r="E180" s="3">
        <f t="shared" si="5"/>
        <v>100</v>
      </c>
      <c r="F180" s="7" t="s">
        <v>18</v>
      </c>
      <c r="G180" s="3"/>
    </row>
    <row r="181" spans="1:7" x14ac:dyDescent="0.25">
      <c r="A181" s="3" t="s">
        <v>8</v>
      </c>
      <c r="B181" s="3" t="s">
        <v>53</v>
      </c>
      <c r="C181" s="7" t="s">
        <v>10</v>
      </c>
      <c r="E181" s="3">
        <f t="shared" si="5"/>
        <v>0</v>
      </c>
      <c r="F181" s="3"/>
      <c r="G181" s="3"/>
    </row>
    <row r="182" spans="1:7" x14ac:dyDescent="0.25">
      <c r="A182" s="3" t="s">
        <v>8</v>
      </c>
      <c r="B182" s="3" t="s">
        <v>88</v>
      </c>
      <c r="C182" s="7" t="s">
        <v>14</v>
      </c>
      <c r="E182" s="3">
        <f t="shared" si="5"/>
        <v>0</v>
      </c>
      <c r="F182" s="3"/>
      <c r="G182" s="3"/>
    </row>
    <row r="183" spans="1:7" x14ac:dyDescent="0.25">
      <c r="A183" s="3" t="s">
        <v>8</v>
      </c>
      <c r="B183" s="3" t="s">
        <v>167</v>
      </c>
      <c r="C183" s="7" t="s">
        <v>39</v>
      </c>
      <c r="E183" s="3">
        <f t="shared" si="5"/>
        <v>0</v>
      </c>
      <c r="F183" s="3"/>
      <c r="G183" s="3"/>
    </row>
    <row r="184" spans="1:7" x14ac:dyDescent="0.25">
      <c r="A184" s="3" t="s">
        <v>8</v>
      </c>
      <c r="B184" s="3" t="s">
        <v>171</v>
      </c>
      <c r="C184" s="7" t="s">
        <v>17</v>
      </c>
      <c r="D184" s="7">
        <v>85</v>
      </c>
      <c r="E184" s="3">
        <f t="shared" si="5"/>
        <v>80</v>
      </c>
      <c r="F184" s="3"/>
      <c r="G184" s="3"/>
    </row>
    <row r="185" spans="1:7" x14ac:dyDescent="0.25">
      <c r="A185" s="3" t="s">
        <v>8</v>
      </c>
      <c r="B185" s="3" t="s">
        <v>182</v>
      </c>
      <c r="C185" s="7" t="s">
        <v>14</v>
      </c>
      <c r="E185" s="3">
        <f t="shared" si="5"/>
        <v>0</v>
      </c>
      <c r="F185" s="3"/>
      <c r="G185" s="3"/>
    </row>
    <row r="186" spans="1:7" x14ac:dyDescent="0.25">
      <c r="A186" s="3" t="s">
        <v>8</v>
      </c>
      <c r="B186" s="3" t="s">
        <v>185</v>
      </c>
      <c r="C186" s="7" t="s">
        <v>39</v>
      </c>
      <c r="E186" s="3">
        <f t="shared" si="5"/>
        <v>0</v>
      </c>
      <c r="F186" s="3"/>
      <c r="G186" s="3"/>
    </row>
    <row r="187" spans="1:7" x14ac:dyDescent="0.25">
      <c r="A187" s="3" t="s">
        <v>8</v>
      </c>
      <c r="B187" s="3" t="s">
        <v>189</v>
      </c>
      <c r="C187" s="7" t="s">
        <v>39</v>
      </c>
      <c r="E187" s="3">
        <f t="shared" si="5"/>
        <v>0</v>
      </c>
      <c r="F187" s="3"/>
      <c r="G187" s="3"/>
    </row>
    <row r="188" spans="1:7" x14ac:dyDescent="0.25">
      <c r="A188" s="3" t="s">
        <v>8</v>
      </c>
      <c r="B188" s="3" t="s">
        <v>95</v>
      </c>
      <c r="C188" s="7" t="s">
        <v>10</v>
      </c>
      <c r="E188" s="3">
        <f t="shared" si="5"/>
        <v>0</v>
      </c>
      <c r="F188" s="3"/>
      <c r="G188" s="3"/>
    </row>
    <row r="189" spans="1:7" x14ac:dyDescent="0.25">
      <c r="C189" s="3"/>
      <c r="F189" s="3"/>
      <c r="G189" s="3"/>
    </row>
    <row r="190" spans="1:7" x14ac:dyDescent="0.25">
      <c r="C190" s="3"/>
      <c r="F190" s="3"/>
      <c r="G190" s="3"/>
    </row>
    <row r="191" spans="1:7" x14ac:dyDescent="0.25">
      <c r="C191" s="3"/>
      <c r="F191" s="3"/>
      <c r="G191" s="3"/>
    </row>
    <row r="192" spans="1:7" x14ac:dyDescent="0.25">
      <c r="C192" s="3"/>
      <c r="F192" s="3"/>
      <c r="G192" s="3"/>
    </row>
    <row r="193" spans="3:7" x14ac:dyDescent="0.25">
      <c r="C193" s="3"/>
      <c r="F193" s="3"/>
      <c r="G193" s="3"/>
    </row>
    <row r="194" spans="3:7" x14ac:dyDescent="0.25">
      <c r="C194" s="3"/>
      <c r="F194" s="3"/>
      <c r="G194" s="3"/>
    </row>
    <row r="195" spans="3:7" x14ac:dyDescent="0.25">
      <c r="C195" s="3"/>
      <c r="F195" s="3"/>
      <c r="G195" s="3"/>
    </row>
    <row r="196" spans="3:7" x14ac:dyDescent="0.25">
      <c r="C196" s="3"/>
      <c r="F196" s="3"/>
      <c r="G196" s="3"/>
    </row>
    <row r="197" spans="3:7" x14ac:dyDescent="0.25">
      <c r="C197" s="3"/>
      <c r="F197" s="3"/>
      <c r="G197" s="3"/>
    </row>
    <row r="198" spans="3:7" x14ac:dyDescent="0.25">
      <c r="C198" s="3"/>
      <c r="F198" s="3"/>
      <c r="G198" s="3"/>
    </row>
    <row r="199" spans="3:7" x14ac:dyDescent="0.25">
      <c r="C199" s="3"/>
      <c r="F199" s="3"/>
      <c r="G199" s="3"/>
    </row>
    <row r="200" spans="3:7" x14ac:dyDescent="0.25">
      <c r="C200" s="3"/>
      <c r="F200" s="3"/>
      <c r="G200" s="3"/>
    </row>
    <row r="201" spans="3:7" x14ac:dyDescent="0.25">
      <c r="C201" s="3"/>
      <c r="F201" s="3"/>
      <c r="G201" s="3"/>
    </row>
    <row r="202" spans="3:7" x14ac:dyDescent="0.25">
      <c r="C202" s="3"/>
      <c r="F202" s="3"/>
      <c r="G202" s="3"/>
    </row>
    <row r="203" spans="3:7" x14ac:dyDescent="0.25">
      <c r="C203" s="3"/>
      <c r="F203" s="3"/>
      <c r="G203" s="3"/>
    </row>
    <row r="204" spans="3:7" x14ac:dyDescent="0.25">
      <c r="C204" s="3"/>
      <c r="F204" s="3"/>
      <c r="G204" s="3"/>
    </row>
    <row r="205" spans="3:7" x14ac:dyDescent="0.25">
      <c r="C205" s="3"/>
      <c r="F205" s="3"/>
      <c r="G205" s="3"/>
    </row>
    <row r="206" spans="3:7" x14ac:dyDescent="0.25">
      <c r="C206" s="3"/>
      <c r="F206" s="3"/>
      <c r="G206" s="3"/>
    </row>
    <row r="207" spans="3:7" x14ac:dyDescent="0.25">
      <c r="C207" s="3"/>
      <c r="F207" s="3"/>
      <c r="G207" s="3"/>
    </row>
    <row r="208" spans="3:7" x14ac:dyDescent="0.25">
      <c r="C208" s="3"/>
      <c r="F208" s="3"/>
      <c r="G208" s="3"/>
    </row>
    <row r="209" spans="3:7" x14ac:dyDescent="0.25">
      <c r="C209" s="3"/>
      <c r="F209" s="3"/>
      <c r="G209" s="3"/>
    </row>
    <row r="210" spans="3:7" x14ac:dyDescent="0.25">
      <c r="C210" s="3"/>
      <c r="F210" s="3"/>
      <c r="G210" s="3"/>
    </row>
    <row r="211" spans="3:7" x14ac:dyDescent="0.25">
      <c r="C211" s="3"/>
      <c r="F211" s="3"/>
      <c r="G211" s="3"/>
    </row>
    <row r="212" spans="3:7" x14ac:dyDescent="0.25">
      <c r="C212" s="3"/>
      <c r="F212" s="3"/>
      <c r="G212" s="3"/>
    </row>
    <row r="213" spans="3:7" x14ac:dyDescent="0.25">
      <c r="C213" s="3"/>
      <c r="F213" s="3"/>
      <c r="G213" s="3"/>
    </row>
    <row r="214" spans="3:7" x14ac:dyDescent="0.25">
      <c r="C214" s="3"/>
      <c r="F214" s="3"/>
      <c r="G214" s="3"/>
    </row>
    <row r="215" spans="3:7" x14ac:dyDescent="0.25">
      <c r="C215" s="3"/>
      <c r="F215" s="3"/>
      <c r="G215" s="3"/>
    </row>
    <row r="216" spans="3:7" x14ac:dyDescent="0.25">
      <c r="C216" s="3"/>
      <c r="F216" s="3"/>
      <c r="G216" s="3"/>
    </row>
    <row r="217" spans="3:7" x14ac:dyDescent="0.25">
      <c r="C217" s="3"/>
      <c r="F217" s="3"/>
      <c r="G217" s="3"/>
    </row>
    <row r="218" spans="3:7" x14ac:dyDescent="0.25">
      <c r="C218" s="3"/>
      <c r="F218" s="3"/>
      <c r="G218" s="3"/>
    </row>
    <row r="219" spans="3:7" x14ac:dyDescent="0.25">
      <c r="C219" s="3"/>
      <c r="F219" s="3"/>
      <c r="G219" s="3"/>
    </row>
    <row r="220" spans="3:7" x14ac:dyDescent="0.25">
      <c r="C220" s="3"/>
      <c r="F220" s="3"/>
      <c r="G220" s="3"/>
    </row>
    <row r="221" spans="3:7" x14ac:dyDescent="0.25">
      <c r="C221" s="3"/>
      <c r="F221" s="3"/>
      <c r="G221" s="3"/>
    </row>
    <row r="222" spans="3:7" x14ac:dyDescent="0.25">
      <c r="C222" s="3"/>
      <c r="F222" s="3"/>
      <c r="G222" s="3"/>
    </row>
    <row r="223" spans="3:7" x14ac:dyDescent="0.25">
      <c r="C223" s="3"/>
      <c r="F223" s="3"/>
      <c r="G223" s="3"/>
    </row>
    <row r="224" spans="3:7" x14ac:dyDescent="0.25">
      <c r="C224" s="3"/>
      <c r="F224" s="3"/>
      <c r="G224" s="3"/>
    </row>
    <row r="225" spans="3:7" x14ac:dyDescent="0.25">
      <c r="C225" s="3"/>
      <c r="F225" s="3"/>
      <c r="G225" s="3"/>
    </row>
    <row r="226" spans="3:7" x14ac:dyDescent="0.25">
      <c r="C226" s="3"/>
      <c r="F226" s="3"/>
      <c r="G226" s="3"/>
    </row>
    <row r="227" spans="3:7" x14ac:dyDescent="0.25">
      <c r="C227" s="3"/>
      <c r="F227" s="3"/>
      <c r="G227" s="3"/>
    </row>
    <row r="228" spans="3:7" x14ac:dyDescent="0.25">
      <c r="C228" s="3"/>
      <c r="F228" s="3"/>
      <c r="G228" s="3"/>
    </row>
    <row r="229" spans="3:7" x14ac:dyDescent="0.25">
      <c r="C229" s="3"/>
      <c r="F229" s="3"/>
      <c r="G229" s="3"/>
    </row>
    <row r="230" spans="3:7" x14ac:dyDescent="0.25">
      <c r="C230" s="3"/>
      <c r="F230" s="3"/>
      <c r="G230" s="3"/>
    </row>
    <row r="231" spans="3:7" x14ac:dyDescent="0.25">
      <c r="C231" s="3"/>
      <c r="F231" s="3"/>
      <c r="G231" s="3"/>
    </row>
    <row r="232" spans="3:7" x14ac:dyDescent="0.25">
      <c r="C232" s="3"/>
      <c r="F232" s="3"/>
      <c r="G232" s="3"/>
    </row>
    <row r="233" spans="3:7" x14ac:dyDescent="0.25">
      <c r="C233" s="3"/>
      <c r="F233" s="3"/>
      <c r="G233" s="3"/>
    </row>
    <row r="234" spans="3:7" x14ac:dyDescent="0.25">
      <c r="C234" s="3"/>
      <c r="F234" s="3"/>
      <c r="G234" s="3"/>
    </row>
    <row r="235" spans="3:7" x14ac:dyDescent="0.25">
      <c r="C235" s="3"/>
      <c r="F235" s="3"/>
      <c r="G235" s="3"/>
    </row>
    <row r="236" spans="3:7" x14ac:dyDescent="0.25">
      <c r="C236" s="3"/>
      <c r="F236" s="3"/>
      <c r="G236" s="3"/>
    </row>
    <row r="237" spans="3:7" x14ac:dyDescent="0.25">
      <c r="C237" s="3"/>
      <c r="F237" s="3"/>
      <c r="G237" s="3"/>
    </row>
    <row r="238" spans="3:7" x14ac:dyDescent="0.25">
      <c r="C238" s="3"/>
      <c r="F238" s="3"/>
      <c r="G238" s="3"/>
    </row>
    <row r="239" spans="3:7" x14ac:dyDescent="0.25">
      <c r="C239" s="3"/>
      <c r="F239" s="3"/>
      <c r="G239" s="3"/>
    </row>
    <row r="240" spans="3:7" x14ac:dyDescent="0.25">
      <c r="C240" s="3"/>
      <c r="F240" s="3"/>
      <c r="G240" s="3"/>
    </row>
    <row r="241" spans="3:7" x14ac:dyDescent="0.25">
      <c r="C241" s="3"/>
      <c r="F241" s="3"/>
      <c r="G241" s="3"/>
    </row>
    <row r="242" spans="3:7" x14ac:dyDescent="0.25">
      <c r="C242" s="3"/>
      <c r="F242" s="3"/>
      <c r="G242" s="3"/>
    </row>
    <row r="243" spans="3:7" x14ac:dyDescent="0.25">
      <c r="C243" s="3"/>
      <c r="F243" s="3"/>
      <c r="G243" s="3"/>
    </row>
    <row r="244" spans="3:7" x14ac:dyDescent="0.25">
      <c r="C244" s="3"/>
      <c r="F244" s="3"/>
      <c r="G244" s="3"/>
    </row>
    <row r="245" spans="3:7" x14ac:dyDescent="0.25">
      <c r="C245" s="3"/>
      <c r="F245" s="3"/>
      <c r="G245" s="3"/>
    </row>
    <row r="246" spans="3:7" x14ac:dyDescent="0.25">
      <c r="C246" s="3"/>
      <c r="F246" s="3"/>
      <c r="G246" s="3"/>
    </row>
    <row r="247" spans="3:7" x14ac:dyDescent="0.25">
      <c r="C247" s="3"/>
      <c r="F247" s="3"/>
      <c r="G247" s="3"/>
    </row>
    <row r="248" spans="3:7" x14ac:dyDescent="0.25">
      <c r="C248" s="3"/>
      <c r="F248" s="3"/>
      <c r="G248" s="3"/>
    </row>
    <row r="249" spans="3:7" x14ac:dyDescent="0.25">
      <c r="C249" s="3"/>
      <c r="F249" s="3"/>
      <c r="G249" s="3"/>
    </row>
    <row r="250" spans="3:7" x14ac:dyDescent="0.25">
      <c r="C250" s="3"/>
      <c r="F250" s="3"/>
      <c r="G250" s="3"/>
    </row>
    <row r="251" spans="3:7" x14ac:dyDescent="0.25">
      <c r="C251" s="3"/>
      <c r="F251" s="3"/>
      <c r="G251" s="3"/>
    </row>
    <row r="252" spans="3:7" x14ac:dyDescent="0.25">
      <c r="C252" s="3"/>
      <c r="F252" s="3"/>
      <c r="G252" s="3"/>
    </row>
    <row r="253" spans="3:7" x14ac:dyDescent="0.25">
      <c r="C253" s="3"/>
      <c r="F253" s="3"/>
      <c r="G253" s="3"/>
    </row>
    <row r="254" spans="3:7" x14ac:dyDescent="0.25">
      <c r="C254" s="3"/>
      <c r="F254" s="3"/>
      <c r="G254" s="3"/>
    </row>
    <row r="255" spans="3:7" x14ac:dyDescent="0.25">
      <c r="C255" s="3"/>
      <c r="F255" s="3"/>
      <c r="G255" s="3"/>
    </row>
    <row r="256" spans="3:7" x14ac:dyDescent="0.25">
      <c r="C256" s="3"/>
      <c r="F256" s="3"/>
      <c r="G256" s="3"/>
    </row>
    <row r="257" spans="3:7" x14ac:dyDescent="0.25">
      <c r="C257" s="3"/>
      <c r="F257" s="3"/>
      <c r="G257" s="3"/>
    </row>
    <row r="258" spans="3:7" x14ac:dyDescent="0.25">
      <c r="C258" s="3"/>
      <c r="F258" s="3"/>
      <c r="G258" s="3"/>
    </row>
    <row r="259" spans="3:7" x14ac:dyDescent="0.25">
      <c r="C259" s="3"/>
      <c r="F259" s="3"/>
      <c r="G259" s="3"/>
    </row>
    <row r="260" spans="3:7" x14ac:dyDescent="0.25">
      <c r="C260" s="3"/>
      <c r="F260" s="3"/>
      <c r="G260" s="3"/>
    </row>
    <row r="261" spans="3:7" x14ac:dyDescent="0.25">
      <c r="C261" s="3"/>
      <c r="F261" s="3"/>
      <c r="G261" s="3"/>
    </row>
    <row r="262" spans="3:7" x14ac:dyDescent="0.25">
      <c r="C262" s="3"/>
      <c r="F262" s="3"/>
      <c r="G262" s="3"/>
    </row>
    <row r="263" spans="3:7" x14ac:dyDescent="0.25">
      <c r="C263" s="3"/>
      <c r="F263" s="3"/>
      <c r="G263" s="3"/>
    </row>
    <row r="264" spans="3:7" x14ac:dyDescent="0.25">
      <c r="C264" s="3"/>
      <c r="F264" s="3"/>
      <c r="G264" s="3"/>
    </row>
    <row r="265" spans="3:7" x14ac:dyDescent="0.25">
      <c r="C265" s="3"/>
      <c r="F265" s="3"/>
      <c r="G265" s="3"/>
    </row>
    <row r="266" spans="3:7" x14ac:dyDescent="0.25">
      <c r="C266" s="3"/>
      <c r="F266" s="3"/>
      <c r="G266" s="3"/>
    </row>
    <row r="267" spans="3:7" x14ac:dyDescent="0.25">
      <c r="C267" s="3"/>
      <c r="F267" s="3"/>
      <c r="G267" s="3"/>
    </row>
    <row r="268" spans="3:7" x14ac:dyDescent="0.25">
      <c r="C268" s="3"/>
      <c r="F268" s="3"/>
      <c r="G268" s="3"/>
    </row>
    <row r="269" spans="3:7" x14ac:dyDescent="0.25">
      <c r="C269" s="3"/>
      <c r="F269" s="3"/>
      <c r="G269" s="3"/>
    </row>
    <row r="270" spans="3:7" x14ac:dyDescent="0.25">
      <c r="C270" s="3"/>
      <c r="F270" s="3"/>
      <c r="G270" s="3"/>
    </row>
    <row r="271" spans="3:7" x14ac:dyDescent="0.25">
      <c r="C271" s="3"/>
      <c r="F271" s="3"/>
      <c r="G271" s="3"/>
    </row>
    <row r="272" spans="3:7" x14ac:dyDescent="0.25">
      <c r="C272" s="3"/>
      <c r="F272" s="3"/>
      <c r="G272" s="3"/>
    </row>
    <row r="273" spans="3:7" x14ac:dyDescent="0.25">
      <c r="C273" s="3"/>
      <c r="F273" s="3"/>
      <c r="G273" s="3"/>
    </row>
    <row r="274" spans="3:7" x14ac:dyDescent="0.25">
      <c r="C274" s="3"/>
      <c r="F274" s="3"/>
      <c r="G274" s="3"/>
    </row>
    <row r="275" spans="3:7" x14ac:dyDescent="0.25">
      <c r="C275" s="3"/>
      <c r="F275" s="3"/>
      <c r="G275" s="3"/>
    </row>
    <row r="276" spans="3:7" x14ac:dyDescent="0.25">
      <c r="C276" s="3"/>
      <c r="F276" s="3"/>
      <c r="G276" s="3"/>
    </row>
    <row r="277" spans="3:7" x14ac:dyDescent="0.25">
      <c r="C277" s="3"/>
      <c r="F277" s="3"/>
      <c r="G277" s="3"/>
    </row>
    <row r="278" spans="3:7" x14ac:dyDescent="0.25">
      <c r="C278" s="3"/>
      <c r="F278" s="3"/>
      <c r="G278" s="3"/>
    </row>
    <row r="279" spans="3:7" x14ac:dyDescent="0.25">
      <c r="C279" s="3"/>
      <c r="F279" s="3"/>
      <c r="G279" s="3"/>
    </row>
    <row r="280" spans="3:7" x14ac:dyDescent="0.25">
      <c r="C280" s="3"/>
      <c r="F280" s="3"/>
      <c r="G280" s="3"/>
    </row>
    <row r="281" spans="3:7" x14ac:dyDescent="0.25">
      <c r="C281" s="3"/>
      <c r="F281" s="3"/>
      <c r="G281" s="3"/>
    </row>
    <row r="282" spans="3:7" x14ac:dyDescent="0.25">
      <c r="C282" s="3"/>
      <c r="F282" s="3"/>
      <c r="G282" s="3"/>
    </row>
    <row r="283" spans="3:7" x14ac:dyDescent="0.25">
      <c r="C283" s="3"/>
      <c r="F283" s="3"/>
      <c r="G283" s="3"/>
    </row>
    <row r="284" spans="3:7" x14ac:dyDescent="0.25">
      <c r="C284" s="3"/>
      <c r="F284" s="3"/>
      <c r="G284" s="3"/>
    </row>
    <row r="285" spans="3:7" x14ac:dyDescent="0.25">
      <c r="C285" s="3"/>
      <c r="F285" s="3"/>
      <c r="G285" s="3"/>
    </row>
    <row r="286" spans="3:7" x14ac:dyDescent="0.25">
      <c r="C286" s="3"/>
      <c r="F286" s="3"/>
      <c r="G286" s="3"/>
    </row>
    <row r="287" spans="3:7" x14ac:dyDescent="0.25">
      <c r="C287" s="3"/>
      <c r="F287" s="3"/>
      <c r="G287" s="3"/>
    </row>
    <row r="288" spans="3:7" x14ac:dyDescent="0.25">
      <c r="C288" s="3"/>
      <c r="F288" s="3"/>
      <c r="G288" s="3"/>
    </row>
    <row r="289" spans="3:7" x14ac:dyDescent="0.25">
      <c r="C289" s="3"/>
      <c r="F289" s="3"/>
      <c r="G289" s="3"/>
    </row>
    <row r="290" spans="3:7" x14ac:dyDescent="0.25">
      <c r="C290" s="3"/>
      <c r="F290" s="3"/>
      <c r="G290" s="3"/>
    </row>
    <row r="291" spans="3:7" x14ac:dyDescent="0.25">
      <c r="C291" s="3"/>
      <c r="F291" s="3"/>
      <c r="G291" s="3"/>
    </row>
    <row r="292" spans="3:7" x14ac:dyDescent="0.25">
      <c r="C292" s="3"/>
      <c r="F292" s="3"/>
      <c r="G292" s="3"/>
    </row>
    <row r="293" spans="3:7" x14ac:dyDescent="0.25">
      <c r="C293" s="3"/>
      <c r="F293" s="3"/>
      <c r="G293" s="3"/>
    </row>
    <row r="294" spans="3:7" x14ac:dyDescent="0.25">
      <c r="C294" s="3"/>
      <c r="F294" s="3"/>
      <c r="G294" s="3"/>
    </row>
    <row r="295" spans="3:7" x14ac:dyDescent="0.25">
      <c r="C295" s="3"/>
      <c r="F295" s="3"/>
      <c r="G295" s="3"/>
    </row>
    <row r="296" spans="3:7" x14ac:dyDescent="0.25">
      <c r="C296" s="3"/>
      <c r="F296" s="3"/>
      <c r="G296" s="3"/>
    </row>
    <row r="297" spans="3:7" x14ac:dyDescent="0.25">
      <c r="C297" s="3"/>
      <c r="F297" s="3"/>
      <c r="G297" s="3"/>
    </row>
    <row r="298" spans="3:7" x14ac:dyDescent="0.25">
      <c r="C298" s="3"/>
      <c r="F298" s="3"/>
      <c r="G298" s="3"/>
    </row>
    <row r="299" spans="3:7" x14ac:dyDescent="0.25">
      <c r="C299" s="3"/>
      <c r="F299" s="3"/>
      <c r="G299" s="3"/>
    </row>
    <row r="300" spans="3:7" x14ac:dyDescent="0.25">
      <c r="C300" s="3"/>
      <c r="F300" s="3"/>
      <c r="G300" s="3"/>
    </row>
    <row r="301" spans="3:7" x14ac:dyDescent="0.25">
      <c r="C301" s="3"/>
      <c r="F301" s="3"/>
      <c r="G301" s="3"/>
    </row>
    <row r="302" spans="3:7" x14ac:dyDescent="0.25">
      <c r="C302" s="3"/>
      <c r="F302" s="3"/>
      <c r="G302" s="3"/>
    </row>
    <row r="303" spans="3:7" x14ac:dyDescent="0.25">
      <c r="C303" s="3"/>
      <c r="F303" s="3"/>
      <c r="G303" s="3"/>
    </row>
    <row r="304" spans="3:7" x14ac:dyDescent="0.25">
      <c r="C304" s="3"/>
      <c r="F304" s="3"/>
      <c r="G304" s="3"/>
    </row>
    <row r="305" spans="3:7" x14ac:dyDescent="0.25">
      <c r="C305" s="3"/>
      <c r="F305" s="3"/>
      <c r="G305" s="3"/>
    </row>
    <row r="306" spans="3:7" x14ac:dyDescent="0.25">
      <c r="C306" s="3"/>
      <c r="F306" s="3"/>
      <c r="G306" s="3"/>
    </row>
    <row r="307" spans="3:7" x14ac:dyDescent="0.25">
      <c r="C307" s="3"/>
      <c r="F307" s="3"/>
      <c r="G307" s="3"/>
    </row>
    <row r="308" spans="3:7" x14ac:dyDescent="0.25">
      <c r="C308" s="3"/>
      <c r="F308" s="3"/>
      <c r="G308" s="3"/>
    </row>
    <row r="309" spans="3:7" x14ac:dyDescent="0.25">
      <c r="C309" s="3"/>
      <c r="F309" s="3"/>
      <c r="G309" s="3"/>
    </row>
    <row r="310" spans="3:7" x14ac:dyDescent="0.25">
      <c r="C310" s="3"/>
      <c r="F310" s="3"/>
      <c r="G310" s="3"/>
    </row>
    <row r="311" spans="3:7" x14ac:dyDescent="0.25">
      <c r="C311" s="3"/>
      <c r="F311" s="3"/>
      <c r="G311" s="3"/>
    </row>
    <row r="312" spans="3:7" x14ac:dyDescent="0.25">
      <c r="C312" s="3"/>
      <c r="F312" s="3"/>
      <c r="G312" s="3"/>
    </row>
    <row r="313" spans="3:7" x14ac:dyDescent="0.25">
      <c r="C313" s="3"/>
      <c r="F313" s="3"/>
      <c r="G313" s="3"/>
    </row>
    <row r="314" spans="3:7" x14ac:dyDescent="0.25">
      <c r="C314" s="3"/>
      <c r="F314" s="3"/>
      <c r="G314" s="3"/>
    </row>
    <row r="315" spans="3:7" x14ac:dyDescent="0.25">
      <c r="C315" s="3"/>
      <c r="F315" s="3"/>
      <c r="G315" s="3"/>
    </row>
    <row r="316" spans="3:7" x14ac:dyDescent="0.25">
      <c r="C316" s="3"/>
      <c r="F316" s="3"/>
      <c r="G316" s="3"/>
    </row>
    <row r="317" spans="3:7" x14ac:dyDescent="0.25">
      <c r="C317" s="3"/>
      <c r="F317" s="3"/>
      <c r="G317" s="3"/>
    </row>
    <row r="318" spans="3:7" x14ac:dyDescent="0.25">
      <c r="C318" s="3"/>
      <c r="F318" s="3"/>
      <c r="G318" s="3"/>
    </row>
    <row r="319" spans="3:7" x14ac:dyDescent="0.25">
      <c r="C319" s="3"/>
      <c r="F319" s="3"/>
      <c r="G319" s="3"/>
    </row>
    <row r="320" spans="3:7" x14ac:dyDescent="0.25">
      <c r="C320" s="3"/>
      <c r="F320" s="3"/>
      <c r="G320" s="3"/>
    </row>
    <row r="321" spans="3:7" x14ac:dyDescent="0.25">
      <c r="C321" s="3"/>
      <c r="F321" s="3"/>
      <c r="G321" s="3"/>
    </row>
    <row r="322" spans="3:7" x14ac:dyDescent="0.25">
      <c r="C322" s="3"/>
      <c r="F322" s="3"/>
      <c r="G322" s="3"/>
    </row>
    <row r="323" spans="3:7" x14ac:dyDescent="0.25">
      <c r="C323" s="3"/>
      <c r="F323" s="3"/>
      <c r="G323" s="3"/>
    </row>
    <row r="324" spans="3:7" x14ac:dyDescent="0.25">
      <c r="C324" s="3"/>
      <c r="F324" s="3"/>
      <c r="G324" s="3"/>
    </row>
    <row r="325" spans="3:7" x14ac:dyDescent="0.25">
      <c r="C325" s="3"/>
      <c r="F325" s="3"/>
      <c r="G325" s="3"/>
    </row>
    <row r="326" spans="3:7" x14ac:dyDescent="0.25">
      <c r="C326" s="3"/>
      <c r="F326" s="3"/>
      <c r="G326" s="3"/>
    </row>
    <row r="327" spans="3:7" x14ac:dyDescent="0.25">
      <c r="C327" s="3"/>
      <c r="F327" s="3"/>
      <c r="G327" s="3"/>
    </row>
    <row r="328" spans="3:7" x14ac:dyDescent="0.25">
      <c r="C328" s="3"/>
      <c r="F328" s="3"/>
      <c r="G328" s="3"/>
    </row>
    <row r="329" spans="3:7" x14ac:dyDescent="0.25">
      <c r="C329" s="3"/>
      <c r="F329" s="3"/>
      <c r="G329" s="3"/>
    </row>
    <row r="330" spans="3:7" x14ac:dyDescent="0.25">
      <c r="C330" s="3"/>
      <c r="F330" s="3"/>
      <c r="G330" s="3"/>
    </row>
    <row r="331" spans="3:7" x14ac:dyDescent="0.25">
      <c r="C331" s="3"/>
      <c r="F331" s="3"/>
      <c r="G331" s="3"/>
    </row>
    <row r="332" spans="3:7" x14ac:dyDescent="0.25">
      <c r="C332" s="3"/>
      <c r="F332" s="3"/>
      <c r="G332" s="3"/>
    </row>
    <row r="333" spans="3:7" x14ac:dyDescent="0.25">
      <c r="C333" s="3"/>
      <c r="F333" s="3"/>
      <c r="G333" s="3"/>
    </row>
    <row r="334" spans="3:7" x14ac:dyDescent="0.25">
      <c r="C334" s="3"/>
      <c r="F334" s="3"/>
      <c r="G334" s="3"/>
    </row>
    <row r="335" spans="3:7" x14ac:dyDescent="0.25">
      <c r="C335" s="3"/>
      <c r="F335" s="3"/>
      <c r="G335" s="3"/>
    </row>
    <row r="336" spans="3:7" x14ac:dyDescent="0.25">
      <c r="C336" s="3"/>
      <c r="F336" s="3"/>
      <c r="G336" s="3"/>
    </row>
    <row r="337" spans="3:7" x14ac:dyDescent="0.25">
      <c r="C337" s="3"/>
      <c r="F337" s="3"/>
      <c r="G337" s="3"/>
    </row>
    <row r="338" spans="3:7" x14ac:dyDescent="0.25">
      <c r="C338" s="3"/>
      <c r="F338" s="3"/>
      <c r="G338" s="3"/>
    </row>
    <row r="339" spans="3:7" x14ac:dyDescent="0.25">
      <c r="C339" s="3"/>
      <c r="F339" s="3"/>
      <c r="G339" s="3"/>
    </row>
    <row r="340" spans="3:7" x14ac:dyDescent="0.25">
      <c r="C340" s="3"/>
      <c r="F340" s="3"/>
      <c r="G340" s="3"/>
    </row>
    <row r="341" spans="3:7" x14ac:dyDescent="0.25">
      <c r="C341" s="3"/>
      <c r="F341" s="3"/>
      <c r="G341" s="3"/>
    </row>
    <row r="342" spans="3:7" x14ac:dyDescent="0.25">
      <c r="C342" s="3"/>
      <c r="F342" s="3"/>
      <c r="G342" s="3"/>
    </row>
    <row r="343" spans="3:7" x14ac:dyDescent="0.25">
      <c r="C343" s="3"/>
      <c r="F343" s="3"/>
      <c r="G343" s="3"/>
    </row>
    <row r="344" spans="3:7" x14ac:dyDescent="0.25">
      <c r="C344" s="3"/>
      <c r="F344" s="3"/>
      <c r="G344" s="3"/>
    </row>
    <row r="345" spans="3:7" x14ac:dyDescent="0.25">
      <c r="C345" s="3"/>
      <c r="F345" s="3"/>
      <c r="G345" s="3"/>
    </row>
    <row r="346" spans="3:7" x14ac:dyDescent="0.25">
      <c r="C346" s="3"/>
      <c r="F346" s="3"/>
      <c r="G346" s="3"/>
    </row>
    <row r="347" spans="3:7" x14ac:dyDescent="0.25">
      <c r="C347" s="3"/>
      <c r="F347" s="3"/>
      <c r="G347" s="3"/>
    </row>
    <row r="348" spans="3:7" x14ac:dyDescent="0.25">
      <c r="C348" s="3"/>
      <c r="F348" s="3"/>
      <c r="G348" s="3"/>
    </row>
    <row r="349" spans="3:7" x14ac:dyDescent="0.25">
      <c r="C349" s="3"/>
      <c r="F349" s="3"/>
      <c r="G349" s="3"/>
    </row>
    <row r="350" spans="3:7" x14ac:dyDescent="0.25">
      <c r="C350" s="3"/>
      <c r="F350" s="3"/>
      <c r="G350" s="3"/>
    </row>
    <row r="351" spans="3:7" x14ac:dyDescent="0.25">
      <c r="C351" s="3"/>
      <c r="F351" s="3"/>
      <c r="G351" s="3"/>
    </row>
    <row r="352" spans="3:7" x14ac:dyDescent="0.25">
      <c r="C352" s="3"/>
      <c r="F352" s="3"/>
      <c r="G352" s="3"/>
    </row>
    <row r="353" spans="3:7" x14ac:dyDescent="0.25">
      <c r="C353" s="3"/>
      <c r="F353" s="3"/>
      <c r="G353" s="3"/>
    </row>
    <row r="354" spans="3:7" x14ac:dyDescent="0.25">
      <c r="C354" s="3"/>
      <c r="F354" s="3"/>
      <c r="G354" s="3"/>
    </row>
    <row r="355" spans="3:7" x14ac:dyDescent="0.25">
      <c r="C355" s="3"/>
      <c r="F355" s="3"/>
      <c r="G355" s="3"/>
    </row>
    <row r="356" spans="3:7" x14ac:dyDescent="0.25">
      <c r="C356" s="3"/>
      <c r="F356" s="3"/>
      <c r="G356" s="3"/>
    </row>
    <row r="357" spans="3:7" x14ac:dyDescent="0.25">
      <c r="C357" s="3"/>
      <c r="F357" s="3"/>
      <c r="G357" s="3"/>
    </row>
    <row r="358" spans="3:7" x14ac:dyDescent="0.25">
      <c r="C358" s="3"/>
      <c r="F358" s="3"/>
      <c r="G358" s="3"/>
    </row>
    <row r="359" spans="3:7" x14ac:dyDescent="0.25">
      <c r="C359" s="3"/>
      <c r="F359" s="3"/>
      <c r="G359" s="3"/>
    </row>
    <row r="360" spans="3:7" x14ac:dyDescent="0.25">
      <c r="C360" s="3"/>
      <c r="F360" s="3"/>
      <c r="G360" s="3"/>
    </row>
    <row r="361" spans="3:7" x14ac:dyDescent="0.25">
      <c r="C361" s="3"/>
      <c r="F361" s="3"/>
      <c r="G361" s="3"/>
    </row>
    <row r="362" spans="3:7" x14ac:dyDescent="0.25">
      <c r="C362" s="3"/>
      <c r="F362" s="3"/>
      <c r="G362" s="3"/>
    </row>
    <row r="363" spans="3:7" x14ac:dyDescent="0.25">
      <c r="C363" s="3"/>
      <c r="F363" s="3"/>
      <c r="G363" s="3"/>
    </row>
    <row r="364" spans="3:7" x14ac:dyDescent="0.25">
      <c r="C364" s="3"/>
      <c r="F364" s="3"/>
      <c r="G364" s="3"/>
    </row>
    <row r="365" spans="3:7" x14ac:dyDescent="0.25">
      <c r="C365" s="3"/>
      <c r="F365" s="3"/>
      <c r="G365" s="3"/>
    </row>
    <row r="366" spans="3:7" x14ac:dyDescent="0.25">
      <c r="C366" s="3"/>
      <c r="F366" s="3"/>
      <c r="G366" s="3"/>
    </row>
    <row r="367" spans="3:7" x14ac:dyDescent="0.25">
      <c r="C367" s="3"/>
      <c r="F367" s="3"/>
      <c r="G367" s="3"/>
    </row>
    <row r="368" spans="3:7" x14ac:dyDescent="0.25">
      <c r="C368" s="3"/>
      <c r="F368" s="3"/>
      <c r="G368" s="3"/>
    </row>
    <row r="369" spans="3:7" x14ac:dyDescent="0.25">
      <c r="C369" s="3"/>
      <c r="F369" s="3"/>
      <c r="G369" s="3"/>
    </row>
    <row r="370" spans="3:7" x14ac:dyDescent="0.25">
      <c r="C370" s="3"/>
      <c r="F370" s="3"/>
      <c r="G370" s="3"/>
    </row>
    <row r="371" spans="3:7" x14ac:dyDescent="0.25">
      <c r="C371" s="3"/>
      <c r="F371" s="3"/>
      <c r="G371" s="3"/>
    </row>
    <row r="372" spans="3:7" x14ac:dyDescent="0.25">
      <c r="C372" s="3"/>
      <c r="F372" s="3"/>
      <c r="G372" s="3"/>
    </row>
    <row r="373" spans="3:7" x14ac:dyDescent="0.25">
      <c r="C373" s="3"/>
      <c r="F373" s="3"/>
      <c r="G373" s="3"/>
    </row>
    <row r="374" spans="3:7" x14ac:dyDescent="0.25">
      <c r="C374" s="3"/>
      <c r="F374" s="3"/>
      <c r="G374" s="3"/>
    </row>
    <row r="375" spans="3:7" x14ac:dyDescent="0.25">
      <c r="C375" s="3"/>
      <c r="F375" s="3"/>
      <c r="G375" s="3"/>
    </row>
    <row r="376" spans="3:7" x14ac:dyDescent="0.25">
      <c r="C376" s="3"/>
      <c r="F376" s="3"/>
      <c r="G376" s="3"/>
    </row>
    <row r="377" spans="3:7" x14ac:dyDescent="0.25">
      <c r="C377" s="3"/>
      <c r="F377" s="3"/>
      <c r="G377" s="3"/>
    </row>
    <row r="378" spans="3:7" x14ac:dyDescent="0.25">
      <c r="C378" s="3"/>
      <c r="F378" s="3"/>
      <c r="G378" s="3"/>
    </row>
    <row r="379" spans="3:7" x14ac:dyDescent="0.25">
      <c r="C379" s="3"/>
      <c r="F379" s="3"/>
      <c r="G379" s="3"/>
    </row>
    <row r="380" spans="3:7" x14ac:dyDescent="0.25">
      <c r="C380" s="3"/>
      <c r="F380" s="3"/>
      <c r="G380" s="3"/>
    </row>
    <row r="381" spans="3:7" x14ac:dyDescent="0.25">
      <c r="C381" s="3"/>
      <c r="F381" s="3"/>
      <c r="G381" s="3"/>
    </row>
    <row r="382" spans="3:7" x14ac:dyDescent="0.25">
      <c r="C382" s="3"/>
      <c r="F382" s="3"/>
      <c r="G382" s="3"/>
    </row>
    <row r="383" spans="3:7" x14ac:dyDescent="0.25">
      <c r="C383" s="3"/>
      <c r="F383" s="3"/>
      <c r="G383" s="3"/>
    </row>
    <row r="384" spans="3:7" x14ac:dyDescent="0.25">
      <c r="C384" s="3"/>
      <c r="F384" s="3"/>
      <c r="G384" s="3"/>
    </row>
    <row r="385" spans="3:7" x14ac:dyDescent="0.25">
      <c r="C385" s="3"/>
      <c r="F385" s="3"/>
      <c r="G385" s="3"/>
    </row>
    <row r="386" spans="3:7" x14ac:dyDescent="0.25">
      <c r="C386" s="3"/>
      <c r="F386" s="3"/>
      <c r="G386" s="3"/>
    </row>
    <row r="387" spans="3:7" x14ac:dyDescent="0.25">
      <c r="C387" s="3"/>
      <c r="F387" s="3"/>
      <c r="G387" s="3"/>
    </row>
    <row r="388" spans="3:7" x14ac:dyDescent="0.25">
      <c r="C388" s="3"/>
      <c r="F388" s="3"/>
      <c r="G388" s="3"/>
    </row>
    <row r="389" spans="3:7" x14ac:dyDescent="0.25">
      <c r="C389" s="3"/>
      <c r="F389" s="3"/>
      <c r="G389" s="3"/>
    </row>
    <row r="390" spans="3:7" x14ac:dyDescent="0.25">
      <c r="C390" s="3"/>
      <c r="F390" s="3"/>
      <c r="G390" s="3"/>
    </row>
    <row r="391" spans="3:7" x14ac:dyDescent="0.25">
      <c r="C391" s="3"/>
      <c r="F391" s="3"/>
      <c r="G391" s="3"/>
    </row>
    <row r="392" spans="3:7" x14ac:dyDescent="0.25">
      <c r="C392" s="3"/>
      <c r="F392" s="3"/>
      <c r="G392" s="3"/>
    </row>
    <row r="393" spans="3:7" x14ac:dyDescent="0.25">
      <c r="C393" s="3"/>
      <c r="F393" s="3"/>
      <c r="G393" s="3"/>
    </row>
    <row r="394" spans="3:7" x14ac:dyDescent="0.25">
      <c r="C394" s="3"/>
      <c r="F394" s="3"/>
      <c r="G394" s="3"/>
    </row>
    <row r="395" spans="3:7" x14ac:dyDescent="0.25">
      <c r="C395" s="3"/>
      <c r="F395" s="3"/>
      <c r="G395" s="3"/>
    </row>
    <row r="396" spans="3:7" x14ac:dyDescent="0.25">
      <c r="C396" s="3"/>
      <c r="F396" s="3"/>
      <c r="G396" s="3"/>
    </row>
    <row r="397" spans="3:7" x14ac:dyDescent="0.25">
      <c r="C397" s="3"/>
      <c r="F397" s="3"/>
      <c r="G397" s="3"/>
    </row>
    <row r="398" spans="3:7" x14ac:dyDescent="0.25">
      <c r="C398" s="3"/>
      <c r="F398" s="3"/>
      <c r="G398" s="3"/>
    </row>
    <row r="399" spans="3:7" x14ac:dyDescent="0.25">
      <c r="C399" s="3"/>
      <c r="F399" s="3"/>
      <c r="G399" s="3"/>
    </row>
    <row r="400" spans="3:7" x14ac:dyDescent="0.25">
      <c r="C400" s="3"/>
      <c r="F400" s="3"/>
      <c r="G400" s="3"/>
    </row>
    <row r="401" spans="3:7" x14ac:dyDescent="0.25">
      <c r="C401" s="3"/>
      <c r="F401" s="3"/>
      <c r="G401" s="3"/>
    </row>
    <row r="402" spans="3:7" x14ac:dyDescent="0.25">
      <c r="C402" s="3"/>
      <c r="F402" s="3"/>
      <c r="G402" s="3"/>
    </row>
    <row r="403" spans="3:7" x14ac:dyDescent="0.25">
      <c r="C403" s="3"/>
      <c r="F403" s="3"/>
      <c r="G403" s="3"/>
    </row>
    <row r="404" spans="3:7" x14ac:dyDescent="0.25">
      <c r="C404" s="3"/>
      <c r="F404" s="3"/>
      <c r="G404" s="3"/>
    </row>
    <row r="405" spans="3:7" x14ac:dyDescent="0.25">
      <c r="C405" s="3"/>
      <c r="F405" s="3"/>
      <c r="G405" s="3"/>
    </row>
    <row r="406" spans="3:7" x14ac:dyDescent="0.25">
      <c r="C406" s="3"/>
      <c r="F406" s="3"/>
      <c r="G406" s="3"/>
    </row>
    <row r="407" spans="3:7" x14ac:dyDescent="0.25">
      <c r="C407" s="3"/>
      <c r="F407" s="3"/>
      <c r="G407" s="3"/>
    </row>
    <row r="408" spans="3:7" x14ac:dyDescent="0.25">
      <c r="C408" s="3"/>
      <c r="F408" s="3"/>
      <c r="G408" s="3"/>
    </row>
    <row r="409" spans="3:7" x14ac:dyDescent="0.25">
      <c r="C409" s="3"/>
      <c r="F409" s="3"/>
      <c r="G409" s="3"/>
    </row>
    <row r="410" spans="3:7" x14ac:dyDescent="0.25">
      <c r="C410" s="3"/>
      <c r="F410" s="3"/>
      <c r="G410" s="3"/>
    </row>
    <row r="411" spans="3:7" x14ac:dyDescent="0.25">
      <c r="C411" s="3"/>
      <c r="F411" s="3"/>
      <c r="G411" s="3"/>
    </row>
    <row r="412" spans="3:7" x14ac:dyDescent="0.25">
      <c r="C412" s="3"/>
      <c r="F412" s="3"/>
      <c r="G412" s="3"/>
    </row>
    <row r="413" spans="3:7" x14ac:dyDescent="0.25">
      <c r="C413" s="3"/>
      <c r="F413" s="3"/>
      <c r="G413" s="3"/>
    </row>
    <row r="414" spans="3:7" x14ac:dyDescent="0.25">
      <c r="C414" s="3"/>
      <c r="F414" s="3"/>
      <c r="G414" s="3"/>
    </row>
    <row r="415" spans="3:7" x14ac:dyDescent="0.25">
      <c r="C415" s="3"/>
      <c r="F415" s="3"/>
      <c r="G415" s="3"/>
    </row>
    <row r="416" spans="3:7" x14ac:dyDescent="0.25">
      <c r="C416" s="3"/>
      <c r="F416" s="3"/>
      <c r="G416" s="3"/>
    </row>
    <row r="417" spans="3:7" x14ac:dyDescent="0.25">
      <c r="C417" s="3"/>
      <c r="F417" s="3"/>
      <c r="G417" s="3"/>
    </row>
    <row r="418" spans="3:7" x14ac:dyDescent="0.25">
      <c r="C418" s="3"/>
      <c r="F418" s="3"/>
      <c r="G418" s="3"/>
    </row>
    <row r="419" spans="3:7" x14ac:dyDescent="0.25">
      <c r="C419" s="3"/>
      <c r="F419" s="3"/>
      <c r="G419" s="3"/>
    </row>
    <row r="420" spans="3:7" x14ac:dyDescent="0.25">
      <c r="C420" s="3"/>
      <c r="F420" s="3"/>
      <c r="G420" s="3"/>
    </row>
    <row r="421" spans="3:7" x14ac:dyDescent="0.25">
      <c r="C421" s="3"/>
      <c r="F421" s="3"/>
      <c r="G421" s="3"/>
    </row>
    <row r="422" spans="3:7" x14ac:dyDescent="0.25">
      <c r="C422" s="3"/>
      <c r="F422" s="3"/>
      <c r="G422" s="3"/>
    </row>
    <row r="423" spans="3:7" x14ac:dyDescent="0.25">
      <c r="C423" s="3"/>
      <c r="F423" s="3"/>
      <c r="G423" s="3"/>
    </row>
    <row r="424" spans="3:7" x14ac:dyDescent="0.25">
      <c r="C424" s="3"/>
      <c r="F424" s="3"/>
      <c r="G424" s="3"/>
    </row>
    <row r="425" spans="3:7" x14ac:dyDescent="0.25">
      <c r="C425" s="3"/>
      <c r="F425" s="3"/>
      <c r="G425" s="3"/>
    </row>
    <row r="426" spans="3:7" x14ac:dyDescent="0.25">
      <c r="C426" s="3"/>
      <c r="F426" s="3"/>
      <c r="G426" s="3"/>
    </row>
    <row r="427" spans="3:7" x14ac:dyDescent="0.25">
      <c r="C427" s="3"/>
      <c r="F427" s="3"/>
      <c r="G427" s="3"/>
    </row>
    <row r="428" spans="3:7" x14ac:dyDescent="0.25">
      <c r="C428" s="3"/>
      <c r="F428" s="3"/>
      <c r="G428" s="3"/>
    </row>
    <row r="429" spans="3:7" x14ac:dyDescent="0.25">
      <c r="C429" s="3"/>
      <c r="F429" s="3"/>
      <c r="G429" s="3"/>
    </row>
    <row r="430" spans="3:7" x14ac:dyDescent="0.25">
      <c r="C430" s="3"/>
      <c r="F430" s="3"/>
      <c r="G430" s="3"/>
    </row>
    <row r="431" spans="3:7" x14ac:dyDescent="0.25">
      <c r="C431" s="3"/>
      <c r="F431" s="3"/>
      <c r="G431" s="3"/>
    </row>
    <row r="432" spans="3:7" x14ac:dyDescent="0.25">
      <c r="C432" s="3"/>
      <c r="F432" s="3"/>
      <c r="G432" s="3"/>
    </row>
    <row r="433" spans="3:7" x14ac:dyDescent="0.25">
      <c r="C433" s="3"/>
      <c r="F433" s="3"/>
      <c r="G433" s="3"/>
    </row>
    <row r="434" spans="3:7" x14ac:dyDescent="0.25">
      <c r="C434" s="3"/>
      <c r="F434" s="3"/>
      <c r="G434" s="3"/>
    </row>
    <row r="435" spans="3:7" x14ac:dyDescent="0.25">
      <c r="C435" s="3"/>
      <c r="F435" s="3"/>
      <c r="G435" s="3"/>
    </row>
    <row r="436" spans="3:7" x14ac:dyDescent="0.25">
      <c r="C436" s="3"/>
      <c r="F436" s="3"/>
      <c r="G436" s="3"/>
    </row>
    <row r="437" spans="3:7" x14ac:dyDescent="0.25">
      <c r="C437" s="3"/>
      <c r="F437" s="3"/>
      <c r="G437" s="3"/>
    </row>
    <row r="438" spans="3:7" x14ac:dyDescent="0.25">
      <c r="C438" s="3"/>
      <c r="F438" s="3"/>
      <c r="G438" s="3"/>
    </row>
    <row r="439" spans="3:7" x14ac:dyDescent="0.25">
      <c r="C439" s="3"/>
      <c r="F439" s="3"/>
      <c r="G439" s="3"/>
    </row>
    <row r="440" spans="3:7" x14ac:dyDescent="0.25">
      <c r="C440" s="3"/>
      <c r="F440" s="3"/>
      <c r="G440" s="3"/>
    </row>
    <row r="441" spans="3:7" x14ac:dyDescent="0.25">
      <c r="C441" s="3"/>
      <c r="F441" s="3"/>
      <c r="G441" s="3"/>
    </row>
    <row r="442" spans="3:7" x14ac:dyDescent="0.25">
      <c r="C442" s="3"/>
      <c r="F442" s="3"/>
      <c r="G442" s="3"/>
    </row>
    <row r="443" spans="3:7" x14ac:dyDescent="0.25">
      <c r="C443" s="3"/>
      <c r="F443" s="3"/>
      <c r="G443" s="3"/>
    </row>
    <row r="444" spans="3:7" x14ac:dyDescent="0.25">
      <c r="C444" s="3"/>
      <c r="F444" s="3"/>
      <c r="G444" s="3"/>
    </row>
    <row r="445" spans="3:7" x14ac:dyDescent="0.25">
      <c r="C445" s="3"/>
      <c r="F445" s="3"/>
      <c r="G445" s="3"/>
    </row>
    <row r="446" spans="3:7" x14ac:dyDescent="0.25">
      <c r="C446" s="3"/>
      <c r="F446" s="3"/>
      <c r="G446" s="3"/>
    </row>
    <row r="447" spans="3:7" x14ac:dyDescent="0.25">
      <c r="C447" s="3"/>
      <c r="F447" s="3"/>
      <c r="G447" s="3"/>
    </row>
    <row r="448" spans="3:7" x14ac:dyDescent="0.25">
      <c r="C448" s="3"/>
      <c r="F448" s="3"/>
      <c r="G448" s="3"/>
    </row>
    <row r="449" spans="3:7" x14ac:dyDescent="0.25">
      <c r="C449" s="3"/>
      <c r="F449" s="3"/>
      <c r="G449" s="3"/>
    </row>
    <row r="450" spans="3:7" x14ac:dyDescent="0.25">
      <c r="C450" s="3"/>
      <c r="F450" s="3"/>
      <c r="G450" s="3"/>
    </row>
    <row r="451" spans="3:7" x14ac:dyDescent="0.25">
      <c r="C451" s="3"/>
      <c r="F451" s="3"/>
      <c r="G451" s="3"/>
    </row>
    <row r="452" spans="3:7" x14ac:dyDescent="0.25">
      <c r="C452" s="3"/>
      <c r="F452" s="3"/>
      <c r="G452" s="3"/>
    </row>
    <row r="453" spans="3:7" x14ac:dyDescent="0.25">
      <c r="C453" s="3"/>
      <c r="F453" s="3"/>
      <c r="G453" s="3"/>
    </row>
    <row r="454" spans="3:7" x14ac:dyDescent="0.25">
      <c r="C454" s="3"/>
      <c r="F454" s="3"/>
      <c r="G454" s="3"/>
    </row>
    <row r="455" spans="3:7" x14ac:dyDescent="0.25">
      <c r="C455" s="3"/>
      <c r="F455" s="3"/>
      <c r="G455" s="3"/>
    </row>
    <row r="456" spans="3:7" x14ac:dyDescent="0.25">
      <c r="C456" s="3"/>
      <c r="F456" s="3"/>
      <c r="G456" s="3"/>
    </row>
    <row r="457" spans="3:7" x14ac:dyDescent="0.25">
      <c r="C457" s="3"/>
      <c r="F457" s="3"/>
      <c r="G457" s="3"/>
    </row>
    <row r="458" spans="3:7" x14ac:dyDescent="0.25">
      <c r="C458" s="3"/>
      <c r="F458" s="3"/>
      <c r="G458" s="3"/>
    </row>
    <row r="459" spans="3:7" x14ac:dyDescent="0.25">
      <c r="C459" s="3"/>
      <c r="F459" s="3"/>
      <c r="G459" s="3"/>
    </row>
    <row r="460" spans="3:7" x14ac:dyDescent="0.25">
      <c r="C460" s="3"/>
      <c r="F460" s="3"/>
      <c r="G460" s="3"/>
    </row>
    <row r="461" spans="3:7" x14ac:dyDescent="0.25">
      <c r="C461" s="3"/>
      <c r="F461" s="3"/>
      <c r="G461" s="3"/>
    </row>
    <row r="462" spans="3:7" x14ac:dyDescent="0.25">
      <c r="C462" s="3"/>
      <c r="F462" s="3"/>
      <c r="G462" s="3"/>
    </row>
    <row r="463" spans="3:7" x14ac:dyDescent="0.25">
      <c r="C463" s="3"/>
      <c r="F463" s="3"/>
      <c r="G463" s="3"/>
    </row>
    <row r="464" spans="3:7" x14ac:dyDescent="0.25">
      <c r="C464" s="3"/>
      <c r="F464" s="3"/>
      <c r="G464" s="3"/>
    </row>
    <row r="465" spans="3:7" x14ac:dyDescent="0.25">
      <c r="C465" s="3"/>
      <c r="F465" s="3"/>
      <c r="G465" s="3"/>
    </row>
    <row r="466" spans="3:7" x14ac:dyDescent="0.25">
      <c r="C466" s="3"/>
      <c r="F466" s="3"/>
      <c r="G466" s="3"/>
    </row>
    <row r="467" spans="3:7" x14ac:dyDescent="0.25">
      <c r="C467" s="3"/>
      <c r="F467" s="3"/>
      <c r="G467" s="3"/>
    </row>
    <row r="468" spans="3:7" x14ac:dyDescent="0.25">
      <c r="C468" s="3"/>
      <c r="F468" s="3"/>
      <c r="G468" s="3"/>
    </row>
    <row r="469" spans="3:7" x14ac:dyDescent="0.25">
      <c r="C469" s="3"/>
      <c r="F469" s="3"/>
      <c r="G469" s="3"/>
    </row>
    <row r="470" spans="3:7" x14ac:dyDescent="0.25">
      <c r="C470" s="3"/>
      <c r="F470" s="3"/>
      <c r="G470" s="3"/>
    </row>
    <row r="471" spans="3:7" x14ac:dyDescent="0.25">
      <c r="C471" s="3"/>
      <c r="F471" s="3"/>
      <c r="G471" s="3"/>
    </row>
    <row r="472" spans="3:7" x14ac:dyDescent="0.25">
      <c r="C472" s="3"/>
      <c r="F472" s="3"/>
      <c r="G472" s="3"/>
    </row>
    <row r="473" spans="3:7" x14ac:dyDescent="0.25">
      <c r="C473" s="3"/>
      <c r="F473" s="3"/>
      <c r="G473" s="3"/>
    </row>
    <row r="474" spans="3:7" x14ac:dyDescent="0.25">
      <c r="C474" s="3"/>
      <c r="F474" s="3"/>
      <c r="G474" s="3"/>
    </row>
    <row r="475" spans="3:7" x14ac:dyDescent="0.25">
      <c r="C475" s="3"/>
      <c r="F475" s="3"/>
      <c r="G475" s="3"/>
    </row>
    <row r="476" spans="3:7" x14ac:dyDescent="0.25">
      <c r="C476" s="3"/>
      <c r="F476" s="3"/>
      <c r="G476" s="3"/>
    </row>
    <row r="477" spans="3:7" x14ac:dyDescent="0.25">
      <c r="C477" s="3"/>
      <c r="F477" s="3"/>
      <c r="G477" s="3"/>
    </row>
    <row r="478" spans="3:7" x14ac:dyDescent="0.25">
      <c r="C478" s="3"/>
      <c r="F478" s="3"/>
      <c r="G478" s="3"/>
    </row>
    <row r="479" spans="3:7" x14ac:dyDescent="0.25">
      <c r="C479" s="3"/>
      <c r="F479" s="3"/>
      <c r="G479" s="3"/>
    </row>
    <row r="480" spans="3:7" x14ac:dyDescent="0.25">
      <c r="C480" s="3"/>
      <c r="F480" s="3"/>
      <c r="G480" s="3"/>
    </row>
    <row r="481" spans="3:7" x14ac:dyDescent="0.25">
      <c r="C481" s="3"/>
      <c r="F481" s="3"/>
      <c r="G481" s="3"/>
    </row>
    <row r="482" spans="3:7" x14ac:dyDescent="0.25">
      <c r="C482" s="3"/>
      <c r="F482" s="3"/>
      <c r="G482" s="3"/>
    </row>
    <row r="483" spans="3:7" x14ac:dyDescent="0.25">
      <c r="C483" s="3"/>
      <c r="F483" s="3"/>
      <c r="G483" s="3"/>
    </row>
    <row r="484" spans="3:7" x14ac:dyDescent="0.25">
      <c r="C484" s="3"/>
      <c r="F484" s="3"/>
      <c r="G484" s="3"/>
    </row>
    <row r="485" spans="3:7" x14ac:dyDescent="0.25">
      <c r="C485" s="3"/>
      <c r="F485" s="3"/>
      <c r="G485" s="3"/>
    </row>
    <row r="486" spans="3:7" x14ac:dyDescent="0.25">
      <c r="C486" s="3"/>
      <c r="F486" s="3"/>
      <c r="G486" s="3"/>
    </row>
    <row r="487" spans="3:7" x14ac:dyDescent="0.25">
      <c r="C487" s="3"/>
      <c r="F487" s="3"/>
      <c r="G487" s="3"/>
    </row>
    <row r="488" spans="3:7" x14ac:dyDescent="0.25">
      <c r="C488" s="3"/>
      <c r="F488" s="3"/>
      <c r="G488" s="3"/>
    </row>
    <row r="489" spans="3:7" x14ac:dyDescent="0.25">
      <c r="C489" s="3"/>
      <c r="F489" s="3"/>
      <c r="G489" s="3"/>
    </row>
    <row r="490" spans="3:7" x14ac:dyDescent="0.25">
      <c r="C490" s="3"/>
      <c r="F490" s="3"/>
      <c r="G490" s="3"/>
    </row>
    <row r="491" spans="3:7" x14ac:dyDescent="0.25">
      <c r="C491" s="3"/>
      <c r="F491" s="3"/>
      <c r="G491" s="3"/>
    </row>
    <row r="492" spans="3:7" x14ac:dyDescent="0.25">
      <c r="C492" s="3"/>
      <c r="F492" s="3"/>
      <c r="G492" s="3"/>
    </row>
    <row r="493" spans="3:7" x14ac:dyDescent="0.25">
      <c r="C493" s="3"/>
      <c r="F493" s="3"/>
      <c r="G493" s="3"/>
    </row>
    <row r="494" spans="3:7" x14ac:dyDescent="0.25">
      <c r="C494" s="3"/>
      <c r="F494" s="3"/>
      <c r="G494" s="3"/>
    </row>
    <row r="495" spans="3:7" x14ac:dyDescent="0.25">
      <c r="C495" s="3"/>
      <c r="F495" s="3"/>
      <c r="G495" s="3"/>
    </row>
    <row r="496" spans="3:7" x14ac:dyDescent="0.25">
      <c r="C496" s="3"/>
      <c r="F496" s="3"/>
      <c r="G496" s="3"/>
    </row>
    <row r="497" spans="3:7" x14ac:dyDescent="0.25">
      <c r="C497" s="3"/>
      <c r="F497" s="3"/>
      <c r="G497" s="3"/>
    </row>
    <row r="498" spans="3:7" x14ac:dyDescent="0.25">
      <c r="C498" s="3"/>
      <c r="F498" s="3"/>
      <c r="G498" s="3"/>
    </row>
    <row r="499" spans="3:7" x14ac:dyDescent="0.25">
      <c r="C499" s="3"/>
      <c r="F499" s="3"/>
      <c r="G499" s="3"/>
    </row>
    <row r="500" spans="3:7" x14ac:dyDescent="0.25">
      <c r="C500" s="3"/>
      <c r="F500" s="3"/>
      <c r="G500" s="3"/>
    </row>
    <row r="501" spans="3:7" x14ac:dyDescent="0.25">
      <c r="C501" s="3"/>
      <c r="F501" s="3"/>
      <c r="G501" s="3"/>
    </row>
    <row r="502" spans="3:7" x14ac:dyDescent="0.25">
      <c r="C502" s="3"/>
      <c r="F502" s="3"/>
      <c r="G502" s="3"/>
    </row>
    <row r="503" spans="3:7" x14ac:dyDescent="0.25">
      <c r="C503" s="3"/>
      <c r="F503" s="3"/>
      <c r="G503" s="3"/>
    </row>
    <row r="504" spans="3:7" x14ac:dyDescent="0.25">
      <c r="C504" s="3"/>
      <c r="F504" s="3"/>
      <c r="G504" s="3"/>
    </row>
    <row r="505" spans="3:7" x14ac:dyDescent="0.25">
      <c r="C505" s="3"/>
      <c r="F505" s="3"/>
      <c r="G505" s="3"/>
    </row>
    <row r="506" spans="3:7" x14ac:dyDescent="0.25">
      <c r="C506" s="3"/>
      <c r="F506" s="3"/>
      <c r="G506" s="3"/>
    </row>
    <row r="507" spans="3:7" x14ac:dyDescent="0.25">
      <c r="C507" s="3"/>
      <c r="F507" s="3"/>
      <c r="G507" s="3"/>
    </row>
    <row r="508" spans="3:7" x14ac:dyDescent="0.25">
      <c r="C508" s="3"/>
      <c r="F508" s="3"/>
      <c r="G508" s="3"/>
    </row>
    <row r="509" spans="3:7" x14ac:dyDescent="0.25">
      <c r="C509" s="3"/>
      <c r="F509" s="3"/>
      <c r="G509" s="3"/>
    </row>
    <row r="510" spans="3:7" x14ac:dyDescent="0.25">
      <c r="C510" s="3"/>
      <c r="F510" s="3"/>
      <c r="G510" s="3"/>
    </row>
    <row r="511" spans="3:7" x14ac:dyDescent="0.25">
      <c r="C511" s="3"/>
      <c r="F511" s="3"/>
      <c r="G511" s="3"/>
    </row>
    <row r="512" spans="3:7" x14ac:dyDescent="0.25">
      <c r="C512" s="3"/>
      <c r="F512" s="3"/>
      <c r="G512" s="3"/>
    </row>
    <row r="513" spans="3:7" x14ac:dyDescent="0.25">
      <c r="C513" s="3"/>
      <c r="F513" s="3"/>
      <c r="G513" s="3"/>
    </row>
    <row r="514" spans="3:7" x14ac:dyDescent="0.25">
      <c r="C514" s="3"/>
      <c r="F514" s="3"/>
      <c r="G514" s="3"/>
    </row>
    <row r="515" spans="3:7" x14ac:dyDescent="0.25">
      <c r="C515" s="3"/>
      <c r="F515" s="3"/>
      <c r="G515" s="3"/>
    </row>
    <row r="516" spans="3:7" x14ac:dyDescent="0.25">
      <c r="C516" s="3"/>
      <c r="F516" s="3"/>
      <c r="G516" s="3"/>
    </row>
    <row r="517" spans="3:7" x14ac:dyDescent="0.25">
      <c r="C517" s="3"/>
      <c r="F517" s="3"/>
      <c r="G517" s="3"/>
    </row>
    <row r="518" spans="3:7" x14ac:dyDescent="0.25">
      <c r="C518" s="3"/>
      <c r="F518" s="3"/>
      <c r="G518" s="3"/>
    </row>
    <row r="519" spans="3:7" x14ac:dyDescent="0.25">
      <c r="C519" s="3"/>
      <c r="F519" s="3"/>
      <c r="G519" s="3"/>
    </row>
    <row r="520" spans="3:7" x14ac:dyDescent="0.25">
      <c r="C520" s="3"/>
      <c r="F520" s="3"/>
      <c r="G520" s="3"/>
    </row>
    <row r="521" spans="3:7" x14ac:dyDescent="0.25">
      <c r="C521" s="3"/>
      <c r="F521" s="3"/>
      <c r="G521" s="3"/>
    </row>
    <row r="522" spans="3:7" x14ac:dyDescent="0.25">
      <c r="C522" s="3"/>
      <c r="F522" s="3"/>
      <c r="G522" s="3"/>
    </row>
    <row r="523" spans="3:7" x14ac:dyDescent="0.25">
      <c r="C523" s="3"/>
      <c r="F523" s="3"/>
      <c r="G523" s="3"/>
    </row>
    <row r="524" spans="3:7" x14ac:dyDescent="0.25">
      <c r="C524" s="3"/>
      <c r="F524" s="3"/>
      <c r="G524" s="3"/>
    </row>
    <row r="525" spans="3:7" x14ac:dyDescent="0.25">
      <c r="C525" s="3"/>
      <c r="F525" s="3"/>
      <c r="G525" s="3"/>
    </row>
    <row r="526" spans="3:7" x14ac:dyDescent="0.25">
      <c r="C526" s="3"/>
      <c r="F526" s="3"/>
      <c r="G526" s="3"/>
    </row>
    <row r="527" spans="3:7" x14ac:dyDescent="0.25">
      <c r="C527" s="3"/>
      <c r="F527" s="3"/>
      <c r="G527" s="3"/>
    </row>
    <row r="528" spans="3:7" x14ac:dyDescent="0.25">
      <c r="C528" s="3"/>
      <c r="F528" s="3"/>
      <c r="G528" s="3"/>
    </row>
    <row r="529" spans="3:7" x14ac:dyDescent="0.25">
      <c r="C529" s="3"/>
      <c r="F529" s="3"/>
      <c r="G529" s="3"/>
    </row>
    <row r="530" spans="3:7" x14ac:dyDescent="0.25">
      <c r="C530" s="3"/>
      <c r="F530" s="3"/>
      <c r="G530" s="3"/>
    </row>
    <row r="531" spans="3:7" x14ac:dyDescent="0.25">
      <c r="C531" s="3"/>
      <c r="F531" s="3"/>
      <c r="G531" s="3"/>
    </row>
    <row r="532" spans="3:7" x14ac:dyDescent="0.25">
      <c r="C532" s="3"/>
      <c r="F532" s="3"/>
      <c r="G532" s="3"/>
    </row>
    <row r="533" spans="3:7" x14ac:dyDescent="0.25">
      <c r="C533" s="3"/>
      <c r="F533" s="3"/>
      <c r="G533" s="3"/>
    </row>
    <row r="534" spans="3:7" x14ac:dyDescent="0.25">
      <c r="C534" s="3"/>
      <c r="F534" s="3"/>
      <c r="G534" s="3"/>
    </row>
    <row r="535" spans="3:7" x14ac:dyDescent="0.25">
      <c r="C535" s="3"/>
      <c r="F535" s="3"/>
      <c r="G535" s="3"/>
    </row>
    <row r="536" spans="3:7" x14ac:dyDescent="0.25">
      <c r="C536" s="3"/>
      <c r="F536" s="3"/>
      <c r="G536" s="3"/>
    </row>
    <row r="537" spans="3:7" x14ac:dyDescent="0.25">
      <c r="C537" s="3"/>
      <c r="F537" s="3"/>
      <c r="G537" s="3"/>
    </row>
    <row r="538" spans="3:7" x14ac:dyDescent="0.25">
      <c r="C538" s="3"/>
      <c r="F538" s="3"/>
      <c r="G538" s="3"/>
    </row>
    <row r="539" spans="3:7" x14ac:dyDescent="0.25">
      <c r="C539" s="3"/>
      <c r="F539" s="3"/>
      <c r="G539" s="3"/>
    </row>
    <row r="540" spans="3:7" x14ac:dyDescent="0.25">
      <c r="C540" s="3"/>
      <c r="F540" s="3"/>
      <c r="G540" s="3"/>
    </row>
    <row r="541" spans="3:7" x14ac:dyDescent="0.25">
      <c r="C541" s="3"/>
      <c r="F541" s="3"/>
      <c r="G541" s="3"/>
    </row>
    <row r="542" spans="3:7" x14ac:dyDescent="0.25">
      <c r="C542" s="3"/>
      <c r="F542" s="3"/>
      <c r="G542" s="3"/>
    </row>
    <row r="543" spans="3:7" x14ac:dyDescent="0.25">
      <c r="C543" s="3"/>
      <c r="F543" s="3"/>
      <c r="G543" s="3"/>
    </row>
    <row r="544" spans="3:7" x14ac:dyDescent="0.25">
      <c r="C544" s="3"/>
      <c r="F544" s="3"/>
      <c r="G544" s="3"/>
    </row>
    <row r="545" spans="3:7" x14ac:dyDescent="0.25">
      <c r="C545" s="3"/>
      <c r="F545" s="3"/>
      <c r="G545" s="3"/>
    </row>
    <row r="546" spans="3:7" x14ac:dyDescent="0.25">
      <c r="C546" s="3"/>
      <c r="F546" s="3"/>
      <c r="G546" s="3"/>
    </row>
    <row r="547" spans="3:7" x14ac:dyDescent="0.25">
      <c r="C547" s="3"/>
      <c r="F547" s="3"/>
      <c r="G547" s="3"/>
    </row>
    <row r="548" spans="3:7" x14ac:dyDescent="0.25">
      <c r="C548" s="3"/>
      <c r="F548" s="3"/>
      <c r="G548" s="3"/>
    </row>
    <row r="549" spans="3:7" x14ac:dyDescent="0.25">
      <c r="C549" s="3"/>
      <c r="F549" s="3"/>
      <c r="G549" s="3"/>
    </row>
    <row r="550" spans="3:7" x14ac:dyDescent="0.25">
      <c r="C550" s="3"/>
      <c r="F550" s="3"/>
      <c r="G550" s="3"/>
    </row>
    <row r="551" spans="3:7" x14ac:dyDescent="0.25">
      <c r="C551" s="3"/>
      <c r="F551" s="3"/>
      <c r="G551" s="3"/>
    </row>
    <row r="552" spans="3:7" x14ac:dyDescent="0.25">
      <c r="C552" s="3"/>
      <c r="F552" s="3"/>
      <c r="G552" s="3"/>
    </row>
    <row r="553" spans="3:7" x14ac:dyDescent="0.25">
      <c r="C553" s="3"/>
      <c r="F553" s="3"/>
      <c r="G553" s="3"/>
    </row>
    <row r="554" spans="3:7" x14ac:dyDescent="0.25">
      <c r="C554" s="3"/>
      <c r="F554" s="3"/>
      <c r="G554" s="3"/>
    </row>
    <row r="555" spans="3:7" x14ac:dyDescent="0.25">
      <c r="C555" s="3"/>
      <c r="F555" s="3"/>
      <c r="G555" s="3"/>
    </row>
    <row r="556" spans="3:7" x14ac:dyDescent="0.25">
      <c r="C556" s="3"/>
      <c r="F556" s="3"/>
      <c r="G556" s="3"/>
    </row>
    <row r="557" spans="3:7" x14ac:dyDescent="0.25">
      <c r="C557" s="3"/>
      <c r="F557" s="3"/>
      <c r="G557" s="3"/>
    </row>
    <row r="558" spans="3:7" x14ac:dyDescent="0.25">
      <c r="C558" s="3"/>
      <c r="F558" s="3"/>
      <c r="G558" s="3"/>
    </row>
    <row r="559" spans="3:7" x14ac:dyDescent="0.25">
      <c r="C559" s="3"/>
      <c r="F559" s="3"/>
      <c r="G559" s="3"/>
    </row>
    <row r="560" spans="3:7" x14ac:dyDescent="0.25">
      <c r="C560" s="3"/>
      <c r="F560" s="3"/>
      <c r="G560" s="3"/>
    </row>
    <row r="561" spans="3:7" x14ac:dyDescent="0.25">
      <c r="C561" s="3"/>
      <c r="F561" s="3"/>
      <c r="G561" s="3"/>
    </row>
    <row r="562" spans="3:7" x14ac:dyDescent="0.25">
      <c r="C562" s="3"/>
      <c r="F562" s="3"/>
      <c r="G562" s="3"/>
    </row>
    <row r="563" spans="3:7" x14ac:dyDescent="0.25">
      <c r="C563" s="3"/>
      <c r="F563" s="3"/>
      <c r="G563" s="3"/>
    </row>
    <row r="564" spans="3:7" x14ac:dyDescent="0.25">
      <c r="C564" s="3"/>
      <c r="F564" s="3"/>
      <c r="G564" s="3"/>
    </row>
    <row r="565" spans="3:7" x14ac:dyDescent="0.25">
      <c r="C565" s="3"/>
      <c r="F565" s="3"/>
      <c r="G565" s="3"/>
    </row>
    <row r="566" spans="3:7" x14ac:dyDescent="0.25">
      <c r="C566" s="3"/>
      <c r="F566" s="3"/>
      <c r="G566" s="3"/>
    </row>
    <row r="567" spans="3:7" x14ac:dyDescent="0.25">
      <c r="C567" s="3"/>
      <c r="F567" s="3"/>
      <c r="G567" s="3"/>
    </row>
    <row r="568" spans="3:7" x14ac:dyDescent="0.25">
      <c r="C568" s="3"/>
      <c r="F568" s="3"/>
      <c r="G568" s="3"/>
    </row>
    <row r="569" spans="3:7" x14ac:dyDescent="0.25">
      <c r="C569" s="3"/>
      <c r="F569" s="3"/>
      <c r="G569" s="3"/>
    </row>
    <row r="570" spans="3:7" x14ac:dyDescent="0.25">
      <c r="C570" s="3"/>
      <c r="F570" s="3"/>
      <c r="G570" s="3"/>
    </row>
    <row r="571" spans="3:7" x14ac:dyDescent="0.25">
      <c r="C571" s="3"/>
      <c r="F571" s="3"/>
      <c r="G571" s="3"/>
    </row>
    <row r="572" spans="3:7" x14ac:dyDescent="0.25">
      <c r="C572" s="3"/>
      <c r="F572" s="3"/>
      <c r="G572" s="3"/>
    </row>
    <row r="573" spans="3:7" x14ac:dyDescent="0.25">
      <c r="C573" s="3"/>
      <c r="F573" s="3"/>
      <c r="G573" s="3"/>
    </row>
    <row r="574" spans="3:7" x14ac:dyDescent="0.25">
      <c r="C574" s="3"/>
      <c r="F574" s="3"/>
      <c r="G574" s="3"/>
    </row>
    <row r="575" spans="3:7" x14ac:dyDescent="0.25">
      <c r="C575" s="3"/>
      <c r="F575" s="3"/>
      <c r="G575" s="3"/>
    </row>
    <row r="576" spans="3:7" x14ac:dyDescent="0.25">
      <c r="C576" s="3"/>
      <c r="F576" s="3"/>
      <c r="G576" s="3"/>
    </row>
    <row r="577" spans="3:7" x14ac:dyDescent="0.25">
      <c r="C577" s="3"/>
      <c r="F577" s="3"/>
      <c r="G577" s="3"/>
    </row>
    <row r="578" spans="3:7" x14ac:dyDescent="0.25">
      <c r="C578" s="3"/>
      <c r="F578" s="3"/>
      <c r="G578" s="3"/>
    </row>
    <row r="579" spans="3:7" x14ac:dyDescent="0.25">
      <c r="C579" s="3"/>
      <c r="F579" s="3"/>
      <c r="G579" s="3"/>
    </row>
    <row r="580" spans="3:7" x14ac:dyDescent="0.25">
      <c r="C580" s="3"/>
      <c r="F580" s="3"/>
      <c r="G580" s="3"/>
    </row>
    <row r="581" spans="3:7" x14ac:dyDescent="0.25">
      <c r="C581" s="3"/>
      <c r="F581" s="3"/>
      <c r="G581" s="3"/>
    </row>
    <row r="582" spans="3:7" x14ac:dyDescent="0.25">
      <c r="C582" s="3"/>
      <c r="F582" s="3"/>
      <c r="G582" s="3"/>
    </row>
    <row r="583" spans="3:7" x14ac:dyDescent="0.25">
      <c r="C583" s="3"/>
      <c r="F583" s="3"/>
      <c r="G583" s="3"/>
    </row>
    <row r="584" spans="3:7" x14ac:dyDescent="0.25">
      <c r="C584" s="3"/>
      <c r="F584" s="3"/>
      <c r="G584" s="3"/>
    </row>
    <row r="585" spans="3:7" x14ac:dyDescent="0.25">
      <c r="C585" s="3"/>
      <c r="F585" s="3"/>
      <c r="G585" s="3"/>
    </row>
    <row r="586" spans="3:7" x14ac:dyDescent="0.25">
      <c r="C586" s="3"/>
      <c r="F586" s="3"/>
      <c r="G586" s="3"/>
    </row>
    <row r="587" spans="3:7" x14ac:dyDescent="0.25">
      <c r="C587" s="3"/>
      <c r="F587" s="3"/>
      <c r="G587" s="3"/>
    </row>
    <row r="588" spans="3:7" x14ac:dyDescent="0.25">
      <c r="C588" s="3"/>
      <c r="F588" s="3"/>
      <c r="G588" s="3"/>
    </row>
    <row r="589" spans="3:7" x14ac:dyDescent="0.25">
      <c r="C589" s="3"/>
      <c r="F589" s="3"/>
      <c r="G589" s="3"/>
    </row>
    <row r="590" spans="3:7" x14ac:dyDescent="0.25">
      <c r="C590" s="3"/>
      <c r="F590" s="3"/>
      <c r="G590" s="3"/>
    </row>
    <row r="591" spans="3:7" x14ac:dyDescent="0.25">
      <c r="C591" s="3"/>
      <c r="F591" s="3"/>
      <c r="G591" s="3"/>
    </row>
    <row r="592" spans="3:7" x14ac:dyDescent="0.25">
      <c r="C592" s="3"/>
      <c r="F592" s="3"/>
      <c r="G592" s="3"/>
    </row>
    <row r="593" spans="3:7" x14ac:dyDescent="0.25">
      <c r="C593" s="3"/>
      <c r="F593" s="3"/>
      <c r="G593" s="3"/>
    </row>
    <row r="594" spans="3:7" x14ac:dyDescent="0.25">
      <c r="C594" s="3"/>
      <c r="F594" s="3"/>
      <c r="G594" s="3"/>
    </row>
    <row r="595" spans="3:7" x14ac:dyDescent="0.25">
      <c r="C595" s="3"/>
      <c r="F595" s="3"/>
      <c r="G595" s="3"/>
    </row>
    <row r="596" spans="3:7" x14ac:dyDescent="0.25">
      <c r="C596" s="3"/>
      <c r="F596" s="3"/>
      <c r="G596" s="3"/>
    </row>
    <row r="597" spans="3:7" x14ac:dyDescent="0.25">
      <c r="C597" s="3"/>
      <c r="F597" s="3"/>
      <c r="G597" s="3"/>
    </row>
    <row r="598" spans="3:7" x14ac:dyDescent="0.25">
      <c r="C598" s="3"/>
      <c r="F598" s="3"/>
      <c r="G598" s="3"/>
    </row>
    <row r="599" spans="3:7" x14ac:dyDescent="0.25">
      <c r="C599" s="3"/>
      <c r="F599" s="3"/>
      <c r="G599" s="3"/>
    </row>
    <row r="600" spans="3:7" x14ac:dyDescent="0.25">
      <c r="C600" s="3"/>
      <c r="F600" s="3"/>
      <c r="G600" s="3"/>
    </row>
    <row r="601" spans="3:7" x14ac:dyDescent="0.25">
      <c r="C601" s="3"/>
      <c r="F601" s="3"/>
      <c r="G601" s="3"/>
    </row>
    <row r="602" spans="3:7" x14ac:dyDescent="0.25">
      <c r="C602" s="3"/>
      <c r="F602" s="3"/>
      <c r="G602" s="3"/>
    </row>
    <row r="603" spans="3:7" x14ac:dyDescent="0.25">
      <c r="C603" s="3"/>
      <c r="F603" s="3"/>
      <c r="G603" s="3"/>
    </row>
    <row r="604" spans="3:7" x14ac:dyDescent="0.25">
      <c r="C604" s="3"/>
      <c r="F604" s="3"/>
      <c r="G604" s="3"/>
    </row>
    <row r="605" spans="3:7" x14ac:dyDescent="0.25">
      <c r="C605" s="3"/>
      <c r="F605" s="3"/>
      <c r="G605" s="3"/>
    </row>
    <row r="606" spans="3:7" x14ac:dyDescent="0.25">
      <c r="C606" s="3"/>
      <c r="F606" s="3"/>
      <c r="G606" s="3"/>
    </row>
    <row r="607" spans="3:7" x14ac:dyDescent="0.25">
      <c r="C607" s="3"/>
      <c r="F607" s="3"/>
      <c r="G607" s="3"/>
    </row>
    <row r="608" spans="3:7" x14ac:dyDescent="0.25">
      <c r="C608" s="3"/>
      <c r="F608" s="3"/>
      <c r="G608" s="3"/>
    </row>
    <row r="609" spans="3:7" x14ac:dyDescent="0.25">
      <c r="C609" s="3"/>
      <c r="F609" s="3"/>
      <c r="G609" s="3"/>
    </row>
    <row r="610" spans="3:7" x14ac:dyDescent="0.25">
      <c r="C610" s="3"/>
      <c r="F610" s="3"/>
      <c r="G610" s="3"/>
    </row>
    <row r="611" spans="3:7" x14ac:dyDescent="0.25">
      <c r="C611" s="3"/>
      <c r="F611" s="3"/>
      <c r="G611" s="3"/>
    </row>
    <row r="612" spans="3:7" x14ac:dyDescent="0.25">
      <c r="C612" s="3"/>
      <c r="F612" s="3"/>
      <c r="G612" s="3"/>
    </row>
    <row r="613" spans="3:7" x14ac:dyDescent="0.25">
      <c r="C613" s="3"/>
      <c r="F613" s="3"/>
      <c r="G613" s="3"/>
    </row>
    <row r="614" spans="3:7" x14ac:dyDescent="0.25">
      <c r="C614" s="3"/>
      <c r="F614" s="3"/>
      <c r="G614" s="3"/>
    </row>
    <row r="615" spans="3:7" x14ac:dyDescent="0.25">
      <c r="C615" s="3"/>
      <c r="F615" s="3"/>
      <c r="G615" s="3"/>
    </row>
    <row r="616" spans="3:7" x14ac:dyDescent="0.25">
      <c r="C616" s="3"/>
      <c r="F616" s="3"/>
      <c r="G616" s="3"/>
    </row>
    <row r="617" spans="3:7" x14ac:dyDescent="0.25">
      <c r="C617" s="3"/>
      <c r="F617" s="3"/>
      <c r="G617" s="3"/>
    </row>
    <row r="618" spans="3:7" x14ac:dyDescent="0.25">
      <c r="C618" s="3"/>
      <c r="F618" s="3"/>
      <c r="G618" s="3"/>
    </row>
    <row r="619" spans="3:7" x14ac:dyDescent="0.25">
      <c r="C619" s="3"/>
      <c r="F619" s="3"/>
      <c r="G619" s="3"/>
    </row>
    <row r="620" spans="3:7" x14ac:dyDescent="0.25">
      <c r="C620" s="3"/>
      <c r="F620" s="3"/>
      <c r="G620" s="3"/>
    </row>
    <row r="621" spans="3:7" x14ac:dyDescent="0.25">
      <c r="C621" s="3"/>
      <c r="F621" s="3"/>
      <c r="G621" s="3"/>
    </row>
    <row r="622" spans="3:7" x14ac:dyDescent="0.25">
      <c r="C622" s="3"/>
      <c r="F622" s="3"/>
      <c r="G622" s="3"/>
    </row>
    <row r="623" spans="3:7" x14ac:dyDescent="0.25">
      <c r="C623" s="3"/>
      <c r="F623" s="3"/>
      <c r="G623" s="3"/>
    </row>
    <row r="624" spans="3:7" x14ac:dyDescent="0.25">
      <c r="C624" s="3"/>
      <c r="F624" s="3"/>
      <c r="G624" s="3"/>
    </row>
    <row r="625" spans="3:7" x14ac:dyDescent="0.25">
      <c r="C625" s="3"/>
      <c r="F625" s="3"/>
      <c r="G625" s="3"/>
    </row>
    <row r="626" spans="3:7" x14ac:dyDescent="0.25">
      <c r="C626" s="3"/>
      <c r="F626" s="3"/>
      <c r="G626" s="3"/>
    </row>
    <row r="627" spans="3:7" x14ac:dyDescent="0.25">
      <c r="C627" s="3"/>
      <c r="F627" s="3"/>
      <c r="G627" s="3"/>
    </row>
    <row r="628" spans="3:7" x14ac:dyDescent="0.25">
      <c r="C628" s="3"/>
      <c r="F628" s="3"/>
      <c r="G628" s="3"/>
    </row>
    <row r="629" spans="3:7" x14ac:dyDescent="0.25">
      <c r="C629" s="3"/>
      <c r="F629" s="3"/>
      <c r="G629" s="3"/>
    </row>
    <row r="630" spans="3:7" x14ac:dyDescent="0.25">
      <c r="C630" s="3"/>
      <c r="F630" s="3"/>
      <c r="G630" s="3"/>
    </row>
    <row r="631" spans="3:7" x14ac:dyDescent="0.25">
      <c r="C631" s="3"/>
      <c r="F631" s="3"/>
      <c r="G631" s="3"/>
    </row>
    <row r="632" spans="3:7" x14ac:dyDescent="0.25">
      <c r="C632" s="3"/>
      <c r="F632" s="3"/>
      <c r="G632" s="3"/>
    </row>
    <row r="633" spans="3:7" x14ac:dyDescent="0.25">
      <c r="C633" s="3"/>
      <c r="F633" s="3"/>
      <c r="G633" s="3"/>
    </row>
    <row r="634" spans="3:7" x14ac:dyDescent="0.25">
      <c r="C634" s="3"/>
      <c r="F634" s="3"/>
      <c r="G634" s="3"/>
    </row>
    <row r="635" spans="3:7" x14ac:dyDescent="0.25">
      <c r="C635" s="3"/>
      <c r="F635" s="3"/>
      <c r="G635" s="3"/>
    </row>
    <row r="636" spans="3:7" x14ac:dyDescent="0.25">
      <c r="C636" s="3"/>
      <c r="F636" s="3"/>
      <c r="G636" s="3"/>
    </row>
    <row r="637" spans="3:7" x14ac:dyDescent="0.25">
      <c r="C637" s="3"/>
      <c r="F637" s="3"/>
      <c r="G637" s="3"/>
    </row>
    <row r="638" spans="3:7" x14ac:dyDescent="0.25">
      <c r="C638" s="3"/>
      <c r="F638" s="3"/>
      <c r="G638" s="3"/>
    </row>
    <row r="639" spans="3:7" x14ac:dyDescent="0.25">
      <c r="C639" s="3"/>
      <c r="F639" s="3"/>
      <c r="G639" s="3"/>
    </row>
    <row r="640" spans="3:7" x14ac:dyDescent="0.25">
      <c r="C640" s="3"/>
      <c r="F640" s="3"/>
      <c r="G640" s="3"/>
    </row>
    <row r="641" spans="3:7" x14ac:dyDescent="0.25">
      <c r="C641" s="3"/>
      <c r="F641" s="3"/>
      <c r="G641" s="3"/>
    </row>
    <row r="642" spans="3:7" x14ac:dyDescent="0.25">
      <c r="C642" s="3"/>
      <c r="F642" s="3"/>
      <c r="G642" s="3"/>
    </row>
    <row r="643" spans="3:7" x14ac:dyDescent="0.25">
      <c r="C643" s="3"/>
      <c r="F643" s="3"/>
      <c r="G643" s="3"/>
    </row>
    <row r="644" spans="3:7" x14ac:dyDescent="0.25">
      <c r="C644" s="3"/>
      <c r="F644" s="3"/>
      <c r="G644" s="3"/>
    </row>
    <row r="645" spans="3:7" x14ac:dyDescent="0.25">
      <c r="C645" s="3"/>
      <c r="F645" s="3"/>
      <c r="G645" s="3"/>
    </row>
    <row r="646" spans="3:7" x14ac:dyDescent="0.25">
      <c r="C646" s="3"/>
      <c r="F646" s="3"/>
      <c r="G646" s="3"/>
    </row>
    <row r="647" spans="3:7" x14ac:dyDescent="0.25">
      <c r="C647" s="3"/>
      <c r="F647" s="3"/>
      <c r="G647" s="3"/>
    </row>
    <row r="648" spans="3:7" x14ac:dyDescent="0.25">
      <c r="C648" s="3"/>
      <c r="F648" s="3"/>
      <c r="G648" s="3"/>
    </row>
    <row r="649" spans="3:7" x14ac:dyDescent="0.25">
      <c r="C649" s="3"/>
      <c r="F649" s="3"/>
      <c r="G649" s="3"/>
    </row>
    <row r="650" spans="3:7" x14ac:dyDescent="0.25">
      <c r="C650" s="3"/>
      <c r="F650" s="3"/>
      <c r="G650" s="3"/>
    </row>
    <row r="651" spans="3:7" x14ac:dyDescent="0.25">
      <c r="C651" s="3"/>
      <c r="F651" s="3"/>
      <c r="G651" s="3"/>
    </row>
    <row r="652" spans="3:7" x14ac:dyDescent="0.25">
      <c r="C652" s="3"/>
      <c r="F652" s="3"/>
      <c r="G652" s="3"/>
    </row>
    <row r="653" spans="3:7" x14ac:dyDescent="0.25">
      <c r="C653" s="3"/>
      <c r="F653" s="3"/>
      <c r="G653" s="3"/>
    </row>
    <row r="654" spans="3:7" x14ac:dyDescent="0.25">
      <c r="C654" s="3"/>
      <c r="F654" s="3"/>
      <c r="G654" s="3"/>
    </row>
    <row r="655" spans="3:7" x14ac:dyDescent="0.25">
      <c r="C655" s="3"/>
      <c r="F655" s="3"/>
      <c r="G655" s="3"/>
    </row>
    <row r="656" spans="3:7" x14ac:dyDescent="0.25">
      <c r="C656" s="3"/>
      <c r="F656" s="3"/>
      <c r="G656" s="3"/>
    </row>
    <row r="657" spans="3:7" x14ac:dyDescent="0.25">
      <c r="C657" s="3"/>
      <c r="F657" s="3"/>
      <c r="G657" s="3"/>
    </row>
    <row r="658" spans="3:7" x14ac:dyDescent="0.25">
      <c r="C658" s="3"/>
      <c r="F658" s="3"/>
      <c r="G658" s="3"/>
    </row>
    <row r="659" spans="3:7" x14ac:dyDescent="0.25">
      <c r="C659" s="3"/>
      <c r="F659" s="3"/>
      <c r="G659" s="3"/>
    </row>
    <row r="660" spans="3:7" x14ac:dyDescent="0.25">
      <c r="C660" s="3"/>
      <c r="F660" s="3"/>
      <c r="G660" s="3"/>
    </row>
    <row r="661" spans="3:7" x14ac:dyDescent="0.25">
      <c r="C661" s="3"/>
      <c r="F661" s="3"/>
      <c r="G661" s="3"/>
    </row>
    <row r="662" spans="3:7" x14ac:dyDescent="0.25">
      <c r="C662" s="3"/>
      <c r="F662" s="3"/>
      <c r="G662" s="3"/>
    </row>
    <row r="663" spans="3:7" x14ac:dyDescent="0.25">
      <c r="C663" s="3"/>
      <c r="F663" s="3"/>
      <c r="G663" s="3"/>
    </row>
    <row r="664" spans="3:7" x14ac:dyDescent="0.25">
      <c r="C664" s="3"/>
      <c r="F664" s="3"/>
      <c r="G664" s="3"/>
    </row>
    <row r="665" spans="3:7" x14ac:dyDescent="0.25">
      <c r="C665" s="3"/>
      <c r="F665" s="3"/>
      <c r="G665" s="3"/>
    </row>
    <row r="666" spans="3:7" x14ac:dyDescent="0.25">
      <c r="C666" s="3"/>
      <c r="F666" s="3"/>
      <c r="G666" s="3"/>
    </row>
    <row r="667" spans="3:7" x14ac:dyDescent="0.25">
      <c r="C667" s="3"/>
      <c r="F667" s="3"/>
      <c r="G667" s="3"/>
    </row>
    <row r="668" spans="3:7" x14ac:dyDescent="0.25">
      <c r="C668" s="3"/>
      <c r="F668" s="3"/>
      <c r="G668" s="3"/>
    </row>
    <row r="669" spans="3:7" x14ac:dyDescent="0.25">
      <c r="C669" s="3"/>
      <c r="F669" s="3"/>
      <c r="G669" s="3"/>
    </row>
    <row r="670" spans="3:7" x14ac:dyDescent="0.25">
      <c r="C670" s="3"/>
      <c r="F670" s="3"/>
      <c r="G670" s="3"/>
    </row>
    <row r="671" spans="3:7" x14ac:dyDescent="0.25">
      <c r="C671" s="3"/>
      <c r="F671" s="3"/>
      <c r="G671" s="3"/>
    </row>
    <row r="672" spans="3:7" x14ac:dyDescent="0.25">
      <c r="C672" s="3"/>
      <c r="F672" s="3"/>
      <c r="G672" s="3"/>
    </row>
    <row r="673" spans="3:7" x14ac:dyDescent="0.25">
      <c r="C673" s="3"/>
      <c r="F673" s="3"/>
      <c r="G673" s="3"/>
    </row>
    <row r="674" spans="3:7" x14ac:dyDescent="0.25">
      <c r="C674" s="3"/>
      <c r="F674" s="3"/>
      <c r="G674" s="3"/>
    </row>
    <row r="675" spans="3:7" x14ac:dyDescent="0.25">
      <c r="C675" s="3"/>
      <c r="F675" s="3"/>
      <c r="G675" s="3"/>
    </row>
    <row r="676" spans="3:7" x14ac:dyDescent="0.25">
      <c r="C676" s="3"/>
      <c r="F676" s="3"/>
      <c r="G676" s="3"/>
    </row>
    <row r="677" spans="3:7" x14ac:dyDescent="0.25">
      <c r="C677" s="3"/>
      <c r="F677" s="3"/>
      <c r="G677" s="3"/>
    </row>
    <row r="678" spans="3:7" x14ac:dyDescent="0.25">
      <c r="C678" s="3"/>
      <c r="F678" s="3"/>
      <c r="G678" s="3"/>
    </row>
    <row r="679" spans="3:7" x14ac:dyDescent="0.25">
      <c r="C679" s="3"/>
      <c r="F679" s="3"/>
      <c r="G679" s="3"/>
    </row>
    <row r="680" spans="3:7" x14ac:dyDescent="0.25">
      <c r="C680" s="3"/>
      <c r="F680" s="3"/>
      <c r="G680" s="3"/>
    </row>
    <row r="681" spans="3:7" x14ac:dyDescent="0.25">
      <c r="C681" s="3"/>
      <c r="F681" s="3"/>
      <c r="G681" s="3"/>
    </row>
    <row r="682" spans="3:7" x14ac:dyDescent="0.25">
      <c r="C682" s="3"/>
      <c r="F682" s="3"/>
      <c r="G682" s="3"/>
    </row>
    <row r="683" spans="3:7" x14ac:dyDescent="0.25">
      <c r="C683" s="3"/>
      <c r="F683" s="3"/>
      <c r="G683" s="3"/>
    </row>
    <row r="684" spans="3:7" x14ac:dyDescent="0.25">
      <c r="C684" s="3"/>
      <c r="F684" s="3"/>
      <c r="G684" s="3"/>
    </row>
    <row r="685" spans="3:7" x14ac:dyDescent="0.25">
      <c r="C685" s="3"/>
      <c r="F685" s="3"/>
      <c r="G685" s="3"/>
    </row>
    <row r="686" spans="3:7" x14ac:dyDescent="0.25">
      <c r="C686" s="3"/>
      <c r="F686" s="3"/>
      <c r="G686" s="3"/>
    </row>
    <row r="687" spans="3:7" x14ac:dyDescent="0.25">
      <c r="C687" s="3"/>
      <c r="F687" s="3"/>
      <c r="G687" s="3"/>
    </row>
    <row r="688" spans="3:7" x14ac:dyDescent="0.25">
      <c r="C688" s="3"/>
      <c r="F688" s="3"/>
      <c r="G688" s="3"/>
    </row>
    <row r="689" spans="3:7" x14ac:dyDescent="0.25">
      <c r="C689" s="3"/>
      <c r="F689" s="3"/>
      <c r="G689" s="3"/>
    </row>
    <row r="690" spans="3:7" x14ac:dyDescent="0.25">
      <c r="C690" s="3"/>
      <c r="F690" s="3"/>
      <c r="G690" s="3"/>
    </row>
    <row r="691" spans="3:7" x14ac:dyDescent="0.25">
      <c r="C691" s="3"/>
      <c r="F691" s="3"/>
      <c r="G691" s="3"/>
    </row>
    <row r="692" spans="3:7" x14ac:dyDescent="0.25">
      <c r="C692" s="3"/>
      <c r="F692" s="3"/>
      <c r="G692" s="3"/>
    </row>
    <row r="693" spans="3:7" x14ac:dyDescent="0.25">
      <c r="C693" s="3"/>
      <c r="F693" s="3"/>
      <c r="G693" s="3"/>
    </row>
    <row r="694" spans="3:7" x14ac:dyDescent="0.25">
      <c r="C694" s="3"/>
      <c r="F694" s="3"/>
      <c r="G694" s="3"/>
    </row>
    <row r="695" spans="3:7" x14ac:dyDescent="0.25">
      <c r="C695" s="3"/>
      <c r="F695" s="3"/>
      <c r="G695" s="3"/>
    </row>
    <row r="696" spans="3:7" x14ac:dyDescent="0.25">
      <c r="C696" s="3"/>
      <c r="F696" s="3"/>
      <c r="G696" s="3"/>
    </row>
    <row r="697" spans="3:7" x14ac:dyDescent="0.25">
      <c r="C697" s="3"/>
      <c r="F697" s="3"/>
      <c r="G697" s="3"/>
    </row>
    <row r="698" spans="3:7" x14ac:dyDescent="0.25">
      <c r="C698" s="3"/>
      <c r="F698" s="3"/>
      <c r="G698" s="3"/>
    </row>
    <row r="699" spans="3:7" x14ac:dyDescent="0.25">
      <c r="C699" s="3"/>
      <c r="F699" s="3"/>
      <c r="G699" s="3"/>
    </row>
    <row r="700" spans="3:7" x14ac:dyDescent="0.25">
      <c r="C700" s="3"/>
      <c r="F700" s="3"/>
      <c r="G700" s="3"/>
    </row>
    <row r="701" spans="3:7" x14ac:dyDescent="0.25">
      <c r="C701" s="3"/>
      <c r="F701" s="3"/>
      <c r="G701" s="3"/>
    </row>
    <row r="702" spans="3:7" x14ac:dyDescent="0.25">
      <c r="C702" s="3"/>
      <c r="F702" s="3"/>
      <c r="G702" s="3"/>
    </row>
    <row r="703" spans="3:7" x14ac:dyDescent="0.25">
      <c r="C703" s="3"/>
      <c r="F703" s="3"/>
      <c r="G703" s="3"/>
    </row>
    <row r="704" spans="3:7" x14ac:dyDescent="0.25">
      <c r="C704" s="3"/>
      <c r="F704" s="3"/>
      <c r="G704" s="3"/>
    </row>
    <row r="705" spans="3:7" x14ac:dyDescent="0.25">
      <c r="C705" s="3"/>
      <c r="F705" s="3"/>
      <c r="G705" s="3"/>
    </row>
    <row r="706" spans="3:7" x14ac:dyDescent="0.25">
      <c r="C706" s="3"/>
      <c r="F706" s="3"/>
      <c r="G706" s="3"/>
    </row>
    <row r="707" spans="3:7" x14ac:dyDescent="0.25">
      <c r="C707" s="3"/>
      <c r="F707" s="3"/>
      <c r="G707" s="3"/>
    </row>
    <row r="708" spans="3:7" x14ac:dyDescent="0.25">
      <c r="C708" s="3"/>
      <c r="F708" s="3"/>
      <c r="G708" s="3"/>
    </row>
    <row r="709" spans="3:7" x14ac:dyDescent="0.25">
      <c r="C709" s="3"/>
      <c r="F709" s="3"/>
      <c r="G709" s="3"/>
    </row>
    <row r="710" spans="3:7" x14ac:dyDescent="0.25">
      <c r="C710" s="3"/>
      <c r="F710" s="3"/>
      <c r="G710" s="3"/>
    </row>
    <row r="711" spans="3:7" x14ac:dyDescent="0.25">
      <c r="C711" s="3"/>
      <c r="F711" s="3"/>
      <c r="G711" s="3"/>
    </row>
    <row r="712" spans="3:7" x14ac:dyDescent="0.25">
      <c r="C712" s="3"/>
      <c r="F712" s="3"/>
      <c r="G712" s="3"/>
    </row>
    <row r="713" spans="3:7" x14ac:dyDescent="0.25">
      <c r="C713" s="3"/>
      <c r="F713" s="3"/>
      <c r="G713" s="3"/>
    </row>
    <row r="714" spans="3:7" x14ac:dyDescent="0.25">
      <c r="C714" s="3"/>
      <c r="F714" s="3"/>
      <c r="G714" s="3"/>
    </row>
    <row r="715" spans="3:7" x14ac:dyDescent="0.25">
      <c r="C715" s="3"/>
      <c r="F715" s="3"/>
      <c r="G715" s="3"/>
    </row>
    <row r="716" spans="3:7" x14ac:dyDescent="0.25">
      <c r="C716" s="3"/>
      <c r="F716" s="3"/>
      <c r="G716" s="3"/>
    </row>
    <row r="717" spans="3:7" x14ac:dyDescent="0.25">
      <c r="C717" s="3"/>
      <c r="F717" s="3"/>
      <c r="G717" s="3"/>
    </row>
    <row r="718" spans="3:7" x14ac:dyDescent="0.25">
      <c r="C718" s="3"/>
      <c r="F718" s="3"/>
      <c r="G718" s="3"/>
    </row>
    <row r="719" spans="3:7" x14ac:dyDescent="0.25">
      <c r="C719" s="3"/>
      <c r="F719" s="3"/>
      <c r="G719" s="3"/>
    </row>
    <row r="720" spans="3:7" x14ac:dyDescent="0.25">
      <c r="C720" s="3"/>
      <c r="F720" s="3"/>
      <c r="G720" s="3"/>
    </row>
    <row r="721" spans="3:7" x14ac:dyDescent="0.25">
      <c r="C721" s="3"/>
      <c r="F721" s="3"/>
      <c r="G721" s="3"/>
    </row>
    <row r="722" spans="3:7" x14ac:dyDescent="0.25">
      <c r="C722" s="3"/>
      <c r="F722" s="3"/>
      <c r="G722" s="3"/>
    </row>
    <row r="723" spans="3:7" x14ac:dyDescent="0.25">
      <c r="C723" s="3"/>
      <c r="F723" s="3"/>
      <c r="G723" s="3"/>
    </row>
    <row r="724" spans="3:7" x14ac:dyDescent="0.25">
      <c r="C724" s="3"/>
      <c r="F724" s="3"/>
      <c r="G724" s="3"/>
    </row>
    <row r="725" spans="3:7" x14ac:dyDescent="0.25">
      <c r="C725" s="3"/>
      <c r="F725" s="3"/>
      <c r="G725" s="3"/>
    </row>
    <row r="726" spans="3:7" x14ac:dyDescent="0.25">
      <c r="C726" s="3"/>
      <c r="F726" s="3"/>
      <c r="G726" s="3"/>
    </row>
    <row r="727" spans="3:7" x14ac:dyDescent="0.25">
      <c r="C727" s="3"/>
      <c r="F727" s="3"/>
      <c r="G727" s="3"/>
    </row>
    <row r="728" spans="3:7" x14ac:dyDescent="0.25">
      <c r="C728" s="3"/>
      <c r="F728" s="3"/>
      <c r="G728" s="3"/>
    </row>
    <row r="729" spans="3:7" x14ac:dyDescent="0.25">
      <c r="C729" s="3"/>
      <c r="F729" s="3"/>
      <c r="G729" s="3"/>
    </row>
    <row r="730" spans="3:7" x14ac:dyDescent="0.25">
      <c r="C730" s="3"/>
      <c r="F730" s="3"/>
      <c r="G730" s="3"/>
    </row>
    <row r="731" spans="3:7" x14ac:dyDescent="0.25">
      <c r="C731" s="3"/>
      <c r="F731" s="3"/>
      <c r="G731" s="3"/>
    </row>
    <row r="732" spans="3:7" x14ac:dyDescent="0.25">
      <c r="C732" s="3"/>
      <c r="F732" s="3"/>
      <c r="G732" s="3"/>
    </row>
    <row r="733" spans="3:7" x14ac:dyDescent="0.25">
      <c r="C733" s="3"/>
      <c r="F733" s="3"/>
      <c r="G733" s="3"/>
    </row>
    <row r="734" spans="3:7" x14ac:dyDescent="0.25">
      <c r="C734" s="3"/>
      <c r="F734" s="3"/>
      <c r="G734" s="3"/>
    </row>
    <row r="735" spans="3:7" x14ac:dyDescent="0.25">
      <c r="C735" s="3"/>
      <c r="F735" s="3"/>
      <c r="G735" s="3"/>
    </row>
    <row r="736" spans="3:7" x14ac:dyDescent="0.25">
      <c r="C736" s="3"/>
      <c r="F736" s="3"/>
      <c r="G736" s="3"/>
    </row>
    <row r="737" spans="3:7" x14ac:dyDescent="0.25">
      <c r="C737" s="3"/>
      <c r="F737" s="3"/>
      <c r="G737" s="3"/>
    </row>
    <row r="738" spans="3:7" x14ac:dyDescent="0.25">
      <c r="C738" s="3"/>
      <c r="F738" s="3"/>
      <c r="G738" s="3"/>
    </row>
    <row r="739" spans="3:7" x14ac:dyDescent="0.25">
      <c r="C739" s="3"/>
      <c r="F739" s="3"/>
      <c r="G739" s="3"/>
    </row>
    <row r="740" spans="3:7" x14ac:dyDescent="0.25">
      <c r="C740" s="3"/>
      <c r="F740" s="3"/>
      <c r="G740" s="3"/>
    </row>
    <row r="741" spans="3:7" x14ac:dyDescent="0.25">
      <c r="C741" s="3"/>
      <c r="F741" s="3"/>
      <c r="G741" s="3"/>
    </row>
    <row r="742" spans="3:7" x14ac:dyDescent="0.25">
      <c r="C742" s="3"/>
      <c r="F742" s="3"/>
      <c r="G742" s="3"/>
    </row>
    <row r="743" spans="3:7" x14ac:dyDescent="0.25">
      <c r="C743" s="3"/>
      <c r="F743" s="3"/>
      <c r="G743" s="3"/>
    </row>
    <row r="744" spans="3:7" x14ac:dyDescent="0.25">
      <c r="C744" s="3"/>
      <c r="F744" s="3"/>
      <c r="G744" s="3"/>
    </row>
    <row r="745" spans="3:7" x14ac:dyDescent="0.25">
      <c r="C745" s="3"/>
      <c r="F745" s="3"/>
      <c r="G745" s="3"/>
    </row>
    <row r="746" spans="3:7" x14ac:dyDescent="0.25">
      <c r="C746" s="3"/>
      <c r="F746" s="3"/>
      <c r="G746" s="3"/>
    </row>
    <row r="747" spans="3:7" x14ac:dyDescent="0.25">
      <c r="C747" s="3"/>
      <c r="F747" s="3"/>
      <c r="G747" s="3"/>
    </row>
    <row r="748" spans="3:7" x14ac:dyDescent="0.25">
      <c r="C748" s="3"/>
      <c r="F748" s="3"/>
      <c r="G748" s="3"/>
    </row>
    <row r="749" spans="3:7" x14ac:dyDescent="0.25">
      <c r="C749" s="3"/>
      <c r="F749" s="3"/>
      <c r="G749" s="3"/>
    </row>
    <row r="750" spans="3:7" x14ac:dyDescent="0.25">
      <c r="C750" s="3"/>
      <c r="F750" s="3"/>
      <c r="G750" s="3"/>
    </row>
    <row r="751" spans="3:7" x14ac:dyDescent="0.25">
      <c r="C751" s="3"/>
      <c r="F751" s="3"/>
      <c r="G751" s="3"/>
    </row>
    <row r="752" spans="3:7" x14ac:dyDescent="0.25">
      <c r="C752" s="3"/>
      <c r="F752" s="3"/>
      <c r="G752" s="3"/>
    </row>
    <row r="753" spans="3:7" x14ac:dyDescent="0.25">
      <c r="C753" s="3"/>
      <c r="F753" s="3"/>
      <c r="G753" s="3"/>
    </row>
    <row r="754" spans="3:7" x14ac:dyDescent="0.25">
      <c r="C754" s="3"/>
      <c r="F754" s="3"/>
      <c r="G754" s="3"/>
    </row>
    <row r="755" spans="3:7" x14ac:dyDescent="0.25">
      <c r="C755" s="3"/>
      <c r="F755" s="3"/>
      <c r="G755" s="3"/>
    </row>
    <row r="756" spans="3:7" x14ac:dyDescent="0.25">
      <c r="C756" s="3"/>
      <c r="F756" s="3"/>
      <c r="G756" s="3"/>
    </row>
    <row r="757" spans="3:7" x14ac:dyDescent="0.25">
      <c r="C757" s="3"/>
      <c r="F757" s="3"/>
      <c r="G757" s="3"/>
    </row>
    <row r="758" spans="3:7" x14ac:dyDescent="0.25">
      <c r="C758" s="3"/>
      <c r="F758" s="3"/>
      <c r="G758" s="3"/>
    </row>
    <row r="759" spans="3:7" x14ac:dyDescent="0.25">
      <c r="C759" s="3"/>
      <c r="F759" s="3"/>
      <c r="G759" s="3"/>
    </row>
    <row r="760" spans="3:7" x14ac:dyDescent="0.25">
      <c r="C760" s="3"/>
      <c r="F760" s="3"/>
      <c r="G760" s="3"/>
    </row>
    <row r="761" spans="3:7" x14ac:dyDescent="0.25">
      <c r="C761" s="3"/>
      <c r="F761" s="3"/>
      <c r="G761" s="3"/>
    </row>
    <row r="762" spans="3:7" x14ac:dyDescent="0.25">
      <c r="C762" s="3"/>
      <c r="F762" s="3"/>
      <c r="G762" s="3"/>
    </row>
    <row r="763" spans="3:7" x14ac:dyDescent="0.25">
      <c r="C763" s="3"/>
      <c r="F763" s="3"/>
      <c r="G763" s="3"/>
    </row>
    <row r="764" spans="3:7" x14ac:dyDescent="0.25">
      <c r="C764" s="3"/>
      <c r="F764" s="3"/>
      <c r="G764" s="3"/>
    </row>
    <row r="765" spans="3:7" x14ac:dyDescent="0.25">
      <c r="C765" s="3"/>
      <c r="F765" s="3"/>
      <c r="G765" s="3"/>
    </row>
    <row r="766" spans="3:7" x14ac:dyDescent="0.25">
      <c r="C766" s="3"/>
      <c r="F766" s="3"/>
      <c r="G766" s="3"/>
    </row>
    <row r="767" spans="3:7" x14ac:dyDescent="0.25">
      <c r="C767" s="3"/>
      <c r="F767" s="3"/>
      <c r="G767" s="3"/>
    </row>
    <row r="768" spans="3:7" x14ac:dyDescent="0.25">
      <c r="C768" s="3"/>
      <c r="F768" s="3"/>
      <c r="G768" s="3"/>
    </row>
    <row r="769" spans="3:7" x14ac:dyDescent="0.25">
      <c r="C769" s="3"/>
      <c r="F769" s="3"/>
      <c r="G769" s="3"/>
    </row>
    <row r="770" spans="3:7" x14ac:dyDescent="0.25">
      <c r="C770" s="3"/>
      <c r="F770" s="3"/>
      <c r="G770" s="3"/>
    </row>
    <row r="771" spans="3:7" x14ac:dyDescent="0.25">
      <c r="C771" s="3"/>
      <c r="F771" s="3"/>
      <c r="G771" s="3"/>
    </row>
    <row r="772" spans="3:7" x14ac:dyDescent="0.25">
      <c r="C772" s="3"/>
      <c r="F772" s="3"/>
      <c r="G772" s="3"/>
    </row>
    <row r="773" spans="3:7" x14ac:dyDescent="0.25">
      <c r="C773" s="3"/>
      <c r="F773" s="3"/>
      <c r="G773" s="3"/>
    </row>
    <row r="774" spans="3:7" x14ac:dyDescent="0.25">
      <c r="C774" s="3"/>
      <c r="F774" s="3"/>
      <c r="G774" s="3"/>
    </row>
    <row r="775" spans="3:7" x14ac:dyDescent="0.25">
      <c r="C775" s="3"/>
      <c r="F775" s="3"/>
      <c r="G775" s="3"/>
    </row>
    <row r="776" spans="3:7" x14ac:dyDescent="0.25">
      <c r="C776" s="3"/>
      <c r="F776" s="3"/>
      <c r="G776" s="3"/>
    </row>
    <row r="777" spans="3:7" x14ac:dyDescent="0.25">
      <c r="C777" s="3"/>
      <c r="F777" s="3"/>
      <c r="G777" s="3"/>
    </row>
    <row r="778" spans="3:7" x14ac:dyDescent="0.25">
      <c r="C778" s="3"/>
      <c r="F778" s="3"/>
      <c r="G778" s="3"/>
    </row>
    <row r="779" spans="3:7" x14ac:dyDescent="0.25">
      <c r="C779" s="3"/>
      <c r="F779" s="3"/>
      <c r="G779" s="3"/>
    </row>
    <row r="780" spans="3:7" x14ac:dyDescent="0.25">
      <c r="C780" s="3"/>
      <c r="F780" s="3"/>
      <c r="G780" s="3"/>
    </row>
    <row r="781" spans="3:7" x14ac:dyDescent="0.25">
      <c r="C781" s="3"/>
      <c r="F781" s="3"/>
      <c r="G781" s="3"/>
    </row>
    <row r="782" spans="3:7" x14ac:dyDescent="0.25">
      <c r="C782" s="3"/>
      <c r="F782" s="3"/>
      <c r="G782" s="3"/>
    </row>
    <row r="783" spans="3:7" x14ac:dyDescent="0.25">
      <c r="C783" s="3"/>
      <c r="F783" s="3"/>
      <c r="G783" s="3"/>
    </row>
    <row r="784" spans="3:7" x14ac:dyDescent="0.25">
      <c r="C784" s="3"/>
      <c r="F784" s="3"/>
      <c r="G784" s="3"/>
    </row>
    <row r="785" spans="3:7" x14ac:dyDescent="0.25">
      <c r="C785" s="3"/>
      <c r="F785" s="3"/>
      <c r="G785" s="3"/>
    </row>
    <row r="786" spans="3:7" x14ac:dyDescent="0.25">
      <c r="C786" s="3"/>
      <c r="F786" s="3"/>
      <c r="G786" s="3"/>
    </row>
    <row r="787" spans="3:7" x14ac:dyDescent="0.25">
      <c r="C787" s="3"/>
      <c r="F787" s="3"/>
      <c r="G787" s="3"/>
    </row>
    <row r="788" spans="3:7" x14ac:dyDescent="0.25">
      <c r="C788" s="3"/>
      <c r="F788" s="3"/>
      <c r="G788" s="3"/>
    </row>
    <row r="789" spans="3:7" x14ac:dyDescent="0.25">
      <c r="C789" s="3"/>
      <c r="F789" s="3"/>
      <c r="G789" s="3"/>
    </row>
    <row r="790" spans="3:7" x14ac:dyDescent="0.25">
      <c r="C790" s="3"/>
      <c r="F790" s="3"/>
      <c r="G790" s="3"/>
    </row>
    <row r="791" spans="3:7" x14ac:dyDescent="0.25">
      <c r="C791" s="3"/>
      <c r="F791" s="3"/>
      <c r="G791" s="3"/>
    </row>
    <row r="792" spans="3:7" x14ac:dyDescent="0.25">
      <c r="C792" s="3"/>
      <c r="F792" s="3"/>
      <c r="G792" s="3"/>
    </row>
    <row r="793" spans="3:7" x14ac:dyDescent="0.25">
      <c r="C793" s="3"/>
      <c r="F793" s="3"/>
      <c r="G793" s="3"/>
    </row>
    <row r="794" spans="3:7" x14ac:dyDescent="0.25">
      <c r="C794" s="3"/>
      <c r="F794" s="3"/>
      <c r="G794" s="3"/>
    </row>
    <row r="795" spans="3:7" x14ac:dyDescent="0.25">
      <c r="C795" s="3"/>
      <c r="F795" s="3"/>
      <c r="G795" s="3"/>
    </row>
    <row r="796" spans="3:7" x14ac:dyDescent="0.25">
      <c r="C796" s="3"/>
      <c r="F796" s="3"/>
      <c r="G796" s="3"/>
    </row>
    <row r="797" spans="3:7" x14ac:dyDescent="0.25">
      <c r="C797" s="3"/>
      <c r="F797" s="3"/>
      <c r="G797" s="3"/>
    </row>
    <row r="798" spans="3:7" x14ac:dyDescent="0.25">
      <c r="C798" s="3"/>
      <c r="F798" s="3"/>
      <c r="G798" s="3"/>
    </row>
    <row r="799" spans="3:7" x14ac:dyDescent="0.25">
      <c r="C799" s="3"/>
      <c r="F799" s="3"/>
      <c r="G799" s="3"/>
    </row>
    <row r="800" spans="3:7" x14ac:dyDescent="0.25">
      <c r="C800" s="3"/>
      <c r="F800" s="3"/>
      <c r="G800" s="3"/>
    </row>
    <row r="801" spans="3:7" x14ac:dyDescent="0.25">
      <c r="C801" s="3"/>
      <c r="F801" s="3"/>
      <c r="G801" s="3"/>
    </row>
    <row r="802" spans="3:7" x14ac:dyDescent="0.25">
      <c r="C802" s="3"/>
      <c r="F802" s="3"/>
      <c r="G802" s="3"/>
    </row>
    <row r="803" spans="3:7" x14ac:dyDescent="0.25">
      <c r="C803" s="3"/>
      <c r="F803" s="3"/>
      <c r="G803" s="3"/>
    </row>
    <row r="804" spans="3:7" x14ac:dyDescent="0.25">
      <c r="C804" s="3"/>
      <c r="F804" s="3"/>
      <c r="G804" s="3"/>
    </row>
    <row r="805" spans="3:7" x14ac:dyDescent="0.25">
      <c r="C805" s="3"/>
      <c r="F805" s="3"/>
      <c r="G805" s="3"/>
    </row>
    <row r="806" spans="3:7" x14ac:dyDescent="0.25">
      <c r="C806" s="3"/>
      <c r="F806" s="3"/>
      <c r="G806" s="3"/>
    </row>
    <row r="807" spans="3:7" x14ac:dyDescent="0.25">
      <c r="C807" s="3"/>
      <c r="F807" s="3"/>
      <c r="G807" s="3"/>
    </row>
    <row r="808" spans="3:7" x14ac:dyDescent="0.25">
      <c r="C808" s="3"/>
      <c r="F808" s="3"/>
      <c r="G808" s="3"/>
    </row>
    <row r="809" spans="3:7" x14ac:dyDescent="0.25">
      <c r="C809" s="3"/>
      <c r="F809" s="3"/>
      <c r="G809" s="3"/>
    </row>
    <row r="810" spans="3:7" x14ac:dyDescent="0.25">
      <c r="C810" s="3"/>
      <c r="F810" s="3"/>
      <c r="G810" s="3"/>
    </row>
    <row r="811" spans="3:7" x14ac:dyDescent="0.25">
      <c r="C811" s="3"/>
      <c r="F811" s="3"/>
      <c r="G811" s="3"/>
    </row>
    <row r="812" spans="3:7" x14ac:dyDescent="0.25">
      <c r="C812" s="3"/>
      <c r="F812" s="3"/>
      <c r="G812" s="3"/>
    </row>
    <row r="813" spans="3:7" x14ac:dyDescent="0.25">
      <c r="C813" s="3"/>
      <c r="F813" s="3"/>
      <c r="G813" s="3"/>
    </row>
    <row r="814" spans="3:7" x14ac:dyDescent="0.25">
      <c r="C814" s="3"/>
      <c r="F814" s="3"/>
      <c r="G814" s="3"/>
    </row>
    <row r="815" spans="3:7" x14ac:dyDescent="0.25">
      <c r="C815" s="3"/>
      <c r="F815" s="3"/>
      <c r="G815" s="3"/>
    </row>
    <row r="816" spans="3:7" x14ac:dyDescent="0.25">
      <c r="C816" s="3"/>
      <c r="F816" s="3"/>
      <c r="G816" s="3"/>
    </row>
    <row r="817" spans="3:7" x14ac:dyDescent="0.25">
      <c r="C817" s="3"/>
      <c r="F817" s="3"/>
      <c r="G817" s="3"/>
    </row>
    <row r="818" spans="3:7" x14ac:dyDescent="0.25">
      <c r="C818" s="3"/>
      <c r="F818" s="3"/>
      <c r="G818" s="3"/>
    </row>
    <row r="819" spans="3:7" x14ac:dyDescent="0.25">
      <c r="C819" s="3"/>
      <c r="F819" s="3"/>
      <c r="G819" s="3"/>
    </row>
    <row r="820" spans="3:7" x14ac:dyDescent="0.25">
      <c r="C820" s="3"/>
      <c r="F820" s="3"/>
      <c r="G820" s="3"/>
    </row>
    <row r="821" spans="3:7" x14ac:dyDescent="0.25">
      <c r="C821" s="3"/>
      <c r="F821" s="3"/>
      <c r="G821" s="3"/>
    </row>
    <row r="822" spans="3:7" x14ac:dyDescent="0.25">
      <c r="C822" s="3"/>
      <c r="F822" s="3"/>
      <c r="G822" s="3"/>
    </row>
    <row r="823" spans="3:7" x14ac:dyDescent="0.25">
      <c r="C823" s="3"/>
      <c r="F823" s="3"/>
      <c r="G823" s="3"/>
    </row>
    <row r="824" spans="3:7" x14ac:dyDescent="0.25">
      <c r="C824" s="3"/>
      <c r="F824" s="3"/>
      <c r="G824" s="3"/>
    </row>
    <row r="825" spans="3:7" x14ac:dyDescent="0.25">
      <c r="C825" s="3"/>
      <c r="F825" s="3"/>
      <c r="G825" s="3"/>
    </row>
    <row r="826" spans="3:7" x14ac:dyDescent="0.25">
      <c r="C826" s="3"/>
      <c r="F826" s="3"/>
      <c r="G826" s="3"/>
    </row>
    <row r="827" spans="3:7" x14ac:dyDescent="0.25">
      <c r="C827" s="3"/>
      <c r="F827" s="3"/>
      <c r="G827" s="3"/>
    </row>
    <row r="828" spans="3:7" x14ac:dyDescent="0.25">
      <c r="C828" s="3"/>
      <c r="F828" s="3"/>
      <c r="G828" s="3"/>
    </row>
    <row r="829" spans="3:7" x14ac:dyDescent="0.25">
      <c r="C829" s="3"/>
      <c r="F829" s="3"/>
      <c r="G829" s="3"/>
    </row>
    <row r="830" spans="3:7" x14ac:dyDescent="0.25">
      <c r="C830" s="3"/>
      <c r="F830" s="3"/>
      <c r="G830" s="3"/>
    </row>
    <row r="831" spans="3:7" x14ac:dyDescent="0.25">
      <c r="C831" s="3"/>
      <c r="F831" s="3"/>
      <c r="G831" s="3"/>
    </row>
    <row r="832" spans="3:7" x14ac:dyDescent="0.25">
      <c r="C832" s="3"/>
      <c r="F832" s="3"/>
      <c r="G832" s="3"/>
    </row>
    <row r="833" spans="3:7" x14ac:dyDescent="0.25">
      <c r="C833" s="3"/>
      <c r="F833" s="3"/>
      <c r="G833" s="3"/>
    </row>
    <row r="834" spans="3:7" x14ac:dyDescent="0.25">
      <c r="C834" s="3"/>
      <c r="F834" s="3"/>
      <c r="G834" s="3"/>
    </row>
    <row r="835" spans="3:7" x14ac:dyDescent="0.25">
      <c r="C835" s="3"/>
      <c r="F835" s="3"/>
      <c r="G835" s="3"/>
    </row>
    <row r="836" spans="3:7" x14ac:dyDescent="0.25">
      <c r="C836" s="3"/>
      <c r="F836" s="3"/>
      <c r="G836" s="3"/>
    </row>
    <row r="837" spans="3:7" x14ac:dyDescent="0.25">
      <c r="C837" s="3"/>
      <c r="F837" s="3"/>
      <c r="G837" s="3"/>
    </row>
    <row r="838" spans="3:7" x14ac:dyDescent="0.25">
      <c r="C838" s="3"/>
      <c r="F838" s="3"/>
      <c r="G838" s="3"/>
    </row>
    <row r="839" spans="3:7" x14ac:dyDescent="0.25">
      <c r="C839" s="3"/>
      <c r="F839" s="3"/>
      <c r="G839" s="3"/>
    </row>
    <row r="840" spans="3:7" x14ac:dyDescent="0.25">
      <c r="C840" s="3"/>
      <c r="F840" s="3"/>
      <c r="G840" s="3"/>
    </row>
    <row r="841" spans="3:7" x14ac:dyDescent="0.25">
      <c r="C841" s="3"/>
      <c r="F841" s="3"/>
      <c r="G841" s="3"/>
    </row>
    <row r="842" spans="3:7" x14ac:dyDescent="0.25">
      <c r="C842" s="3"/>
      <c r="F842" s="3"/>
      <c r="G842" s="3"/>
    </row>
    <row r="843" spans="3:7" x14ac:dyDescent="0.25">
      <c r="C843" s="3"/>
      <c r="F843" s="3"/>
      <c r="G843" s="3"/>
    </row>
    <row r="844" spans="3:7" x14ac:dyDescent="0.25">
      <c r="C844" s="3"/>
      <c r="F844" s="3"/>
      <c r="G844" s="3"/>
    </row>
    <row r="845" spans="3:7" x14ac:dyDescent="0.25">
      <c r="C845" s="3"/>
      <c r="F845" s="3"/>
      <c r="G845" s="3"/>
    </row>
    <row r="846" spans="3:7" x14ac:dyDescent="0.25">
      <c r="C846" s="3"/>
      <c r="F846" s="3"/>
      <c r="G846" s="3"/>
    </row>
    <row r="847" spans="3:7" x14ac:dyDescent="0.25">
      <c r="C847" s="3"/>
      <c r="F847" s="3"/>
      <c r="G847" s="3"/>
    </row>
    <row r="848" spans="3:7" x14ac:dyDescent="0.25">
      <c r="C848" s="3"/>
      <c r="F848" s="3"/>
      <c r="G848" s="3"/>
    </row>
    <row r="849" spans="3:7" x14ac:dyDescent="0.25">
      <c r="C849" s="3"/>
      <c r="F849" s="3"/>
      <c r="G849" s="3"/>
    </row>
    <row r="850" spans="3:7" x14ac:dyDescent="0.25">
      <c r="C850" s="3"/>
      <c r="F850" s="3"/>
      <c r="G850" s="3"/>
    </row>
    <row r="851" spans="3:7" x14ac:dyDescent="0.25">
      <c r="C851" s="3"/>
      <c r="F851" s="3"/>
      <c r="G851" s="3"/>
    </row>
    <row r="852" spans="3:7" x14ac:dyDescent="0.25">
      <c r="C852" s="3"/>
      <c r="F852" s="3"/>
      <c r="G852" s="3"/>
    </row>
    <row r="853" spans="3:7" x14ac:dyDescent="0.25">
      <c r="C853" s="3"/>
      <c r="F853" s="3"/>
      <c r="G853" s="3"/>
    </row>
    <row r="854" spans="3:7" x14ac:dyDescent="0.25">
      <c r="C854" s="3"/>
      <c r="F854" s="3"/>
      <c r="G854" s="3"/>
    </row>
    <row r="855" spans="3:7" x14ac:dyDescent="0.25">
      <c r="C855" s="3"/>
      <c r="F855" s="3"/>
      <c r="G855" s="3"/>
    </row>
    <row r="856" spans="3:7" x14ac:dyDescent="0.25">
      <c r="C856" s="3"/>
      <c r="F856" s="3"/>
      <c r="G856" s="3"/>
    </row>
    <row r="857" spans="3:7" x14ac:dyDescent="0.25">
      <c r="C857" s="3"/>
      <c r="F857" s="3"/>
      <c r="G857" s="3"/>
    </row>
    <row r="858" spans="3:7" x14ac:dyDescent="0.25">
      <c r="C858" s="3"/>
      <c r="F858" s="3"/>
      <c r="G858" s="3"/>
    </row>
    <row r="859" spans="3:7" x14ac:dyDescent="0.25">
      <c r="C859" s="3"/>
      <c r="F859" s="3"/>
      <c r="G859" s="3"/>
    </row>
    <row r="860" spans="3:7" x14ac:dyDescent="0.25">
      <c r="C860" s="3"/>
      <c r="F860" s="3"/>
      <c r="G860" s="3"/>
    </row>
    <row r="861" spans="3:7" x14ac:dyDescent="0.25">
      <c r="C861" s="3"/>
      <c r="F861" s="3"/>
      <c r="G861" s="3"/>
    </row>
    <row r="862" spans="3:7" x14ac:dyDescent="0.25">
      <c r="C862" s="3"/>
      <c r="F862" s="3"/>
      <c r="G862" s="3"/>
    </row>
    <row r="863" spans="3:7" x14ac:dyDescent="0.25">
      <c r="C863" s="3"/>
      <c r="F863" s="3"/>
      <c r="G863" s="3"/>
    </row>
    <row r="864" spans="3:7" x14ac:dyDescent="0.25">
      <c r="C864" s="3"/>
      <c r="F864" s="3"/>
      <c r="G864" s="3"/>
    </row>
    <row r="865" spans="3:7" x14ac:dyDescent="0.25">
      <c r="C865" s="3"/>
      <c r="F865" s="3"/>
      <c r="G865" s="3"/>
    </row>
    <row r="866" spans="3:7" x14ac:dyDescent="0.25">
      <c r="C866" s="3"/>
      <c r="F866" s="3"/>
      <c r="G866" s="3"/>
    </row>
    <row r="867" spans="3:7" x14ac:dyDescent="0.25">
      <c r="C867" s="3"/>
      <c r="F867" s="3"/>
      <c r="G867" s="3"/>
    </row>
    <row r="868" spans="3:7" x14ac:dyDescent="0.25">
      <c r="C868" s="3"/>
      <c r="F868" s="3"/>
      <c r="G868" s="3"/>
    </row>
    <row r="869" spans="3:7" x14ac:dyDescent="0.25">
      <c r="C869" s="3"/>
      <c r="F869" s="3"/>
      <c r="G869" s="3"/>
    </row>
    <row r="870" spans="3:7" x14ac:dyDescent="0.25">
      <c r="C870" s="3"/>
      <c r="F870" s="3"/>
      <c r="G870" s="3"/>
    </row>
    <row r="871" spans="3:7" x14ac:dyDescent="0.25">
      <c r="C871" s="3"/>
      <c r="F871" s="3"/>
      <c r="G871" s="3"/>
    </row>
    <row r="872" spans="3:7" x14ac:dyDescent="0.25">
      <c r="C872" s="3"/>
      <c r="F872" s="3"/>
      <c r="G872" s="3"/>
    </row>
    <row r="873" spans="3:7" x14ac:dyDescent="0.25">
      <c r="C873" s="3"/>
      <c r="F873" s="3"/>
      <c r="G873" s="3"/>
    </row>
    <row r="874" spans="3:7" x14ac:dyDescent="0.25">
      <c r="C874" s="3"/>
      <c r="F874" s="3"/>
      <c r="G874" s="3"/>
    </row>
    <row r="875" spans="3:7" x14ac:dyDescent="0.25">
      <c r="C875" s="3"/>
      <c r="F875" s="3"/>
      <c r="G875" s="3"/>
    </row>
    <row r="876" spans="3:7" x14ac:dyDescent="0.25">
      <c r="C876" s="3"/>
      <c r="F876" s="3"/>
      <c r="G876" s="3"/>
    </row>
    <row r="877" spans="3:7" x14ac:dyDescent="0.25">
      <c r="C877" s="3"/>
      <c r="F877" s="3"/>
      <c r="G877" s="3"/>
    </row>
    <row r="878" spans="3:7" x14ac:dyDescent="0.25">
      <c r="C878" s="3"/>
      <c r="F878" s="3"/>
      <c r="G878" s="3"/>
    </row>
    <row r="879" spans="3:7" x14ac:dyDescent="0.25">
      <c r="C879" s="3"/>
      <c r="F879" s="3"/>
      <c r="G879" s="3"/>
    </row>
    <row r="880" spans="3:7" x14ac:dyDescent="0.25">
      <c r="C880" s="3"/>
      <c r="F880" s="3"/>
      <c r="G880" s="3"/>
    </row>
    <row r="881" spans="3:7" x14ac:dyDescent="0.25">
      <c r="C881" s="3"/>
      <c r="F881" s="3"/>
      <c r="G881" s="3"/>
    </row>
    <row r="882" spans="3:7" x14ac:dyDescent="0.25">
      <c r="C882" s="3"/>
      <c r="F882" s="3"/>
      <c r="G882" s="3"/>
    </row>
    <row r="883" spans="3:7" x14ac:dyDescent="0.25">
      <c r="C883" s="3"/>
      <c r="F883" s="3"/>
      <c r="G883" s="3"/>
    </row>
    <row r="884" spans="3:7" x14ac:dyDescent="0.25">
      <c r="C884" s="3"/>
      <c r="F884" s="3"/>
      <c r="G884" s="3"/>
    </row>
    <row r="885" spans="3:7" x14ac:dyDescent="0.25">
      <c r="C885" s="3"/>
      <c r="F885" s="3"/>
      <c r="G885" s="3"/>
    </row>
    <row r="886" spans="3:7" x14ac:dyDescent="0.25">
      <c r="C886" s="3"/>
      <c r="F886" s="3"/>
      <c r="G886" s="3"/>
    </row>
    <row r="887" spans="3:7" x14ac:dyDescent="0.25">
      <c r="C887" s="3"/>
      <c r="F887" s="3"/>
      <c r="G887" s="3"/>
    </row>
    <row r="888" spans="3:7" x14ac:dyDescent="0.25">
      <c r="C888" s="3"/>
      <c r="F888" s="3"/>
      <c r="G888" s="3"/>
    </row>
    <row r="889" spans="3:7" x14ac:dyDescent="0.25">
      <c r="C889" s="3"/>
      <c r="F889" s="3"/>
      <c r="G889" s="3"/>
    </row>
    <row r="890" spans="3:7" x14ac:dyDescent="0.25">
      <c r="C890" s="3"/>
      <c r="F890" s="3"/>
      <c r="G890" s="3"/>
    </row>
    <row r="891" spans="3:7" x14ac:dyDescent="0.25">
      <c r="C891" s="3"/>
      <c r="F891" s="3"/>
      <c r="G891" s="3"/>
    </row>
    <row r="892" spans="3:7" x14ac:dyDescent="0.25">
      <c r="C892" s="3"/>
      <c r="F892" s="3"/>
      <c r="G892" s="3"/>
    </row>
    <row r="893" spans="3:7" x14ac:dyDescent="0.25">
      <c r="C893" s="3"/>
      <c r="F893" s="3"/>
      <c r="G893" s="3"/>
    </row>
    <row r="894" spans="3:7" x14ac:dyDescent="0.25">
      <c r="C894" s="3"/>
      <c r="F894" s="3"/>
      <c r="G894" s="3"/>
    </row>
    <row r="895" spans="3:7" x14ac:dyDescent="0.25">
      <c r="C895" s="3"/>
      <c r="F895" s="3"/>
      <c r="G895" s="3"/>
    </row>
    <row r="896" spans="3:7" x14ac:dyDescent="0.25">
      <c r="C896" s="3"/>
      <c r="F896" s="3"/>
      <c r="G896" s="3"/>
    </row>
    <row r="897" spans="3:7" x14ac:dyDescent="0.25">
      <c r="C897" s="3"/>
      <c r="F897" s="3"/>
      <c r="G897" s="3"/>
    </row>
    <row r="898" spans="3:7" x14ac:dyDescent="0.25">
      <c r="C898" s="3"/>
      <c r="F898" s="3"/>
      <c r="G898" s="3"/>
    </row>
    <row r="899" spans="3:7" x14ac:dyDescent="0.25">
      <c r="C899" s="3"/>
      <c r="F899" s="3"/>
      <c r="G899" s="3"/>
    </row>
    <row r="900" spans="3:7" x14ac:dyDescent="0.25">
      <c r="C900" s="3"/>
      <c r="F900" s="3"/>
      <c r="G900" s="3"/>
    </row>
  </sheetData>
  <autoFilter ref="A1:G1" xr:uid="{00000000-0001-0000-0300-000000000000}">
    <sortState xmlns:xlrd2="http://schemas.microsoft.com/office/spreadsheetml/2017/richdata2" ref="A2:G188">
      <sortCondition descending="1" ref="G1"/>
    </sortState>
  </autoFilter>
  <phoneticPr fontId="2"/>
  <conditionalFormatting sqref="C1:C188">
    <cfRule type="cellIs" dxfId="19" priority="1" operator="equal">
      <formula>"風"</formula>
    </cfRule>
    <cfRule type="cellIs" dxfId="18" priority="2" operator="equal">
      <formula>"林"</formula>
    </cfRule>
    <cfRule type="cellIs" dxfId="17" priority="3" operator="equal">
      <formula>"火"</formula>
    </cfRule>
    <cfRule type="cellIs" dxfId="16" priority="4" operator="equal">
      <formula>"山"</formula>
    </cfRule>
    <cfRule type="cellIs" dxfId="15" priority="5" operator="equal">
      <formula>"無"</formula>
    </cfRule>
  </conditionalFormatting>
  <dataValidations count="3">
    <dataValidation type="list" allowBlank="1" showErrorMessage="1" sqref="G2:G900" xr:uid="{00000000-0002-0000-0300-000000000000}">
      <formula1>"ロングシュート,カウンターシュート,シュートブロック,無"</formula1>
    </dataValidation>
    <dataValidation type="list" allowBlank="1" showErrorMessage="1" sqref="C2:C900" xr:uid="{00000000-0002-0000-0300-000001000000}">
      <formula1>"風,林,火,山,無,リアルスキル"</formula1>
    </dataValidation>
    <dataValidation type="list" allowBlank="1" sqref="F2:F900" xr:uid="{00000000-0002-0000-0300-000002000000}">
      <formula1>"特訓ショップ,秘宝堂,クロニクル百貨店,VSストア,スピリット交換所,ボックス"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H900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.05" customHeight="1" x14ac:dyDescent="0.25"/>
  <cols>
    <col min="1" max="1" width="15.85546875" customWidth="1"/>
    <col min="2" max="2" width="24.140625" customWidth="1"/>
    <col min="5" max="5" width="15.85546875" customWidth="1"/>
    <col min="6" max="7" width="20.7109375" customWidth="1"/>
  </cols>
  <sheetData>
    <row r="1" spans="1:7" ht="12.8" customHeigh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 t="s">
        <v>5</v>
      </c>
      <c r="G1" s="6" t="s">
        <v>6</v>
      </c>
    </row>
    <row r="2" spans="1:7" ht="14.85" x14ac:dyDescent="0.25">
      <c r="A2" s="3" t="s">
        <v>283</v>
      </c>
      <c r="B2" s="3" t="s">
        <v>311</v>
      </c>
      <c r="C2" s="7" t="s">
        <v>17</v>
      </c>
      <c r="D2" s="7">
        <v>85</v>
      </c>
      <c r="E2" s="3">
        <f t="shared" ref="E2:E92" si="0">IF(D2=85, 80, D2)</f>
        <v>80</v>
      </c>
      <c r="F2" s="7" t="s">
        <v>11</v>
      </c>
      <c r="G2" s="3"/>
    </row>
    <row r="3" spans="1:7" ht="14.85" x14ac:dyDescent="0.25">
      <c r="A3" s="3" t="s">
        <v>283</v>
      </c>
      <c r="B3" s="3" t="s">
        <v>313</v>
      </c>
      <c r="C3" s="7" t="s">
        <v>39</v>
      </c>
      <c r="D3" s="7">
        <v>85</v>
      </c>
      <c r="E3" s="3">
        <f t="shared" si="0"/>
        <v>80</v>
      </c>
      <c r="F3" s="7" t="s">
        <v>24</v>
      </c>
      <c r="G3" s="3"/>
    </row>
    <row r="4" spans="1:7" ht="14.85" x14ac:dyDescent="0.25">
      <c r="A4" s="3" t="s">
        <v>283</v>
      </c>
      <c r="B4" s="3" t="s">
        <v>316</v>
      </c>
      <c r="C4" s="7" t="s">
        <v>39</v>
      </c>
      <c r="D4" s="7">
        <v>85</v>
      </c>
      <c r="E4" s="3">
        <f t="shared" si="0"/>
        <v>80</v>
      </c>
      <c r="F4" s="7" t="s">
        <v>24</v>
      </c>
      <c r="G4" s="3"/>
    </row>
    <row r="5" spans="1:7" ht="14.85" x14ac:dyDescent="0.25">
      <c r="A5" s="3" t="s">
        <v>283</v>
      </c>
      <c r="B5" s="3" t="s">
        <v>321</v>
      </c>
      <c r="C5" s="7" t="s">
        <v>10</v>
      </c>
      <c r="D5" s="7">
        <v>85</v>
      </c>
      <c r="E5" s="3">
        <f t="shared" si="0"/>
        <v>80</v>
      </c>
      <c r="F5" s="7" t="s">
        <v>11</v>
      </c>
      <c r="G5" s="3"/>
    </row>
    <row r="6" spans="1:7" ht="14.85" x14ac:dyDescent="0.25">
      <c r="A6" s="3" t="s">
        <v>283</v>
      </c>
      <c r="B6" s="3" t="s">
        <v>355</v>
      </c>
      <c r="C6" s="7" t="s">
        <v>17</v>
      </c>
      <c r="D6" s="7">
        <v>85</v>
      </c>
      <c r="E6" s="3">
        <f t="shared" si="0"/>
        <v>80</v>
      </c>
      <c r="F6" s="7" t="s">
        <v>24</v>
      </c>
      <c r="G6" s="3"/>
    </row>
    <row r="7" spans="1:7" ht="14.85" x14ac:dyDescent="0.25">
      <c r="A7" s="3" t="s">
        <v>283</v>
      </c>
      <c r="B7" s="3" t="s">
        <v>360</v>
      </c>
      <c r="C7" s="7" t="s">
        <v>14</v>
      </c>
      <c r="D7" s="7">
        <v>85</v>
      </c>
      <c r="E7" s="3">
        <f t="shared" si="0"/>
        <v>80</v>
      </c>
      <c r="F7" s="7" t="s">
        <v>24</v>
      </c>
      <c r="G7" s="7" t="s">
        <v>285</v>
      </c>
    </row>
    <row r="8" spans="1:7" ht="14.85" x14ac:dyDescent="0.25">
      <c r="A8" s="3" t="s">
        <v>283</v>
      </c>
      <c r="B8" s="3" t="s">
        <v>362</v>
      </c>
      <c r="C8" s="7" t="s">
        <v>39</v>
      </c>
      <c r="D8" s="7">
        <v>85</v>
      </c>
      <c r="E8" s="3">
        <f t="shared" si="0"/>
        <v>80</v>
      </c>
      <c r="F8" s="7" t="s">
        <v>18</v>
      </c>
      <c r="G8" s="3"/>
    </row>
    <row r="9" spans="1:7" ht="14.85" x14ac:dyDescent="0.25">
      <c r="A9" s="3" t="s">
        <v>283</v>
      </c>
      <c r="B9" s="7" t="s">
        <v>373</v>
      </c>
      <c r="C9" s="7" t="s">
        <v>39</v>
      </c>
      <c r="D9" s="7">
        <v>85</v>
      </c>
      <c r="E9" s="3">
        <f t="shared" si="0"/>
        <v>80</v>
      </c>
      <c r="F9" s="7" t="s">
        <v>18</v>
      </c>
      <c r="G9" s="3"/>
    </row>
    <row r="10" spans="1:7" ht="14.85" x14ac:dyDescent="0.25">
      <c r="A10" s="3" t="s">
        <v>283</v>
      </c>
      <c r="B10" s="3" t="s">
        <v>298</v>
      </c>
      <c r="C10" s="7" t="s">
        <v>39</v>
      </c>
      <c r="D10" s="7">
        <v>70</v>
      </c>
      <c r="E10" s="3">
        <f t="shared" si="0"/>
        <v>70</v>
      </c>
      <c r="F10" s="7" t="s">
        <v>11</v>
      </c>
      <c r="G10" s="3"/>
    </row>
    <row r="11" spans="1:7" ht="14.85" x14ac:dyDescent="0.25">
      <c r="A11" s="3" t="s">
        <v>283</v>
      </c>
      <c r="B11" s="3" t="s">
        <v>300</v>
      </c>
      <c r="C11" s="7" t="s">
        <v>39</v>
      </c>
      <c r="D11" s="7">
        <v>70</v>
      </c>
      <c r="E11" s="3">
        <f t="shared" si="0"/>
        <v>70</v>
      </c>
      <c r="F11" s="7" t="s">
        <v>18</v>
      </c>
      <c r="G11" s="3"/>
    </row>
    <row r="12" spans="1:7" ht="14.85" x14ac:dyDescent="0.25">
      <c r="A12" s="3" t="s">
        <v>283</v>
      </c>
      <c r="B12" s="3" t="s">
        <v>308</v>
      </c>
      <c r="C12" s="7" t="s">
        <v>39</v>
      </c>
      <c r="D12" s="7">
        <v>70</v>
      </c>
      <c r="E12" s="3">
        <f t="shared" si="0"/>
        <v>70</v>
      </c>
      <c r="F12" s="7" t="s">
        <v>11</v>
      </c>
      <c r="G12" s="7" t="s">
        <v>285</v>
      </c>
    </row>
    <row r="13" spans="1:7" ht="14.85" x14ac:dyDescent="0.25">
      <c r="A13" s="3" t="s">
        <v>283</v>
      </c>
      <c r="B13" s="3" t="s">
        <v>312</v>
      </c>
      <c r="C13" s="7" t="s">
        <v>10</v>
      </c>
      <c r="D13" s="7">
        <v>70</v>
      </c>
      <c r="E13" s="3">
        <f t="shared" si="0"/>
        <v>70</v>
      </c>
      <c r="F13" s="7" t="s">
        <v>18</v>
      </c>
      <c r="G13" s="3"/>
    </row>
    <row r="14" spans="1:7" ht="14.85" x14ac:dyDescent="0.25">
      <c r="A14" s="3" t="s">
        <v>283</v>
      </c>
      <c r="B14" s="3" t="s">
        <v>314</v>
      </c>
      <c r="C14" s="7" t="s">
        <v>14</v>
      </c>
      <c r="D14" s="7">
        <v>70</v>
      </c>
      <c r="E14" s="3">
        <f t="shared" si="0"/>
        <v>70</v>
      </c>
      <c r="F14" s="7" t="s">
        <v>32</v>
      </c>
      <c r="G14" s="3"/>
    </row>
    <row r="15" spans="1:7" ht="14.85" x14ac:dyDescent="0.25">
      <c r="A15" s="3" t="s">
        <v>283</v>
      </c>
      <c r="B15" s="3" t="s">
        <v>315</v>
      </c>
      <c r="C15" s="7" t="s">
        <v>17</v>
      </c>
      <c r="D15" s="7">
        <v>70</v>
      </c>
      <c r="E15" s="3">
        <f t="shared" si="0"/>
        <v>70</v>
      </c>
      <c r="F15" s="7" t="s">
        <v>11</v>
      </c>
      <c r="G15" s="7" t="s">
        <v>285</v>
      </c>
    </row>
    <row r="16" spans="1:7" ht="14.85" x14ac:dyDescent="0.25">
      <c r="A16" s="3" t="s">
        <v>283</v>
      </c>
      <c r="B16" s="3" t="s">
        <v>322</v>
      </c>
      <c r="C16" s="7" t="s">
        <v>17</v>
      </c>
      <c r="D16" s="7">
        <v>70</v>
      </c>
      <c r="E16" s="3">
        <f t="shared" si="0"/>
        <v>70</v>
      </c>
      <c r="F16" s="7" t="s">
        <v>24</v>
      </c>
      <c r="G16" s="7" t="s">
        <v>285</v>
      </c>
    </row>
    <row r="17" spans="1:7" ht="14.85" x14ac:dyDescent="0.25">
      <c r="A17" s="3" t="s">
        <v>283</v>
      </c>
      <c r="B17" s="3" t="s">
        <v>326</v>
      </c>
      <c r="C17" s="7" t="s">
        <v>39</v>
      </c>
      <c r="D17" s="7">
        <v>70</v>
      </c>
      <c r="E17" s="3">
        <f t="shared" si="0"/>
        <v>70</v>
      </c>
      <c r="F17" s="7" t="s">
        <v>32</v>
      </c>
      <c r="G17" s="7" t="s">
        <v>285</v>
      </c>
    </row>
    <row r="18" spans="1:7" ht="14.85" x14ac:dyDescent="0.25">
      <c r="A18" s="3" t="s">
        <v>283</v>
      </c>
      <c r="B18" s="3" t="s">
        <v>327</v>
      </c>
      <c r="C18" s="7" t="s">
        <v>10</v>
      </c>
      <c r="D18" s="7">
        <v>70</v>
      </c>
      <c r="E18" s="3">
        <f t="shared" si="0"/>
        <v>70</v>
      </c>
      <c r="F18" s="7" t="s">
        <v>11</v>
      </c>
      <c r="G18" s="7" t="s">
        <v>285</v>
      </c>
    </row>
    <row r="19" spans="1:7" ht="14.85" x14ac:dyDescent="0.25">
      <c r="A19" s="3" t="s">
        <v>283</v>
      </c>
      <c r="B19" s="3" t="s">
        <v>330</v>
      </c>
      <c r="C19" s="7" t="s">
        <v>39</v>
      </c>
      <c r="D19" s="7">
        <v>70</v>
      </c>
      <c r="E19" s="3">
        <f t="shared" si="0"/>
        <v>70</v>
      </c>
      <c r="F19" s="7" t="s">
        <v>11</v>
      </c>
      <c r="G19" s="7" t="s">
        <v>285</v>
      </c>
    </row>
    <row r="20" spans="1:7" ht="14.85" x14ac:dyDescent="0.25">
      <c r="A20" s="3" t="s">
        <v>283</v>
      </c>
      <c r="B20" s="3" t="s">
        <v>332</v>
      </c>
      <c r="C20" s="7" t="s">
        <v>10</v>
      </c>
      <c r="D20" s="7">
        <v>70</v>
      </c>
      <c r="E20" s="3">
        <f t="shared" si="0"/>
        <v>70</v>
      </c>
      <c r="F20" s="7" t="s">
        <v>32</v>
      </c>
      <c r="G20" s="3"/>
    </row>
    <row r="21" spans="1:7" ht="14.85" x14ac:dyDescent="0.25">
      <c r="A21" s="3" t="s">
        <v>283</v>
      </c>
      <c r="B21" s="3" t="s">
        <v>333</v>
      </c>
      <c r="C21" s="7" t="s">
        <v>17</v>
      </c>
      <c r="D21" s="7">
        <v>70</v>
      </c>
      <c r="E21" s="3">
        <f t="shared" si="0"/>
        <v>70</v>
      </c>
      <c r="F21" s="7" t="s">
        <v>32</v>
      </c>
      <c r="G21" s="3"/>
    </row>
    <row r="22" spans="1:7" ht="14.85" x14ac:dyDescent="0.25">
      <c r="A22" s="3" t="s">
        <v>283</v>
      </c>
      <c r="B22" s="3" t="s">
        <v>341</v>
      </c>
      <c r="C22" s="7" t="s">
        <v>39</v>
      </c>
      <c r="D22" s="7">
        <v>70</v>
      </c>
      <c r="E22" s="3">
        <f t="shared" si="0"/>
        <v>70</v>
      </c>
      <c r="F22" s="7" t="s">
        <v>11</v>
      </c>
      <c r="G22" s="7" t="s">
        <v>285</v>
      </c>
    </row>
    <row r="23" spans="1:7" ht="14.85" x14ac:dyDescent="0.25">
      <c r="A23" s="3" t="s">
        <v>283</v>
      </c>
      <c r="B23" s="3" t="s">
        <v>345</v>
      </c>
      <c r="C23" s="7" t="s">
        <v>39</v>
      </c>
      <c r="D23" s="7">
        <v>70</v>
      </c>
      <c r="E23" s="3">
        <f t="shared" si="0"/>
        <v>70</v>
      </c>
      <c r="F23" s="7" t="s">
        <v>24</v>
      </c>
      <c r="G23" s="3"/>
    </row>
    <row r="24" spans="1:7" ht="14.85" x14ac:dyDescent="0.25">
      <c r="A24" s="3" t="s">
        <v>283</v>
      </c>
      <c r="B24" s="3" t="s">
        <v>346</v>
      </c>
      <c r="C24" s="7" t="s">
        <v>158</v>
      </c>
      <c r="D24" s="7">
        <v>70</v>
      </c>
      <c r="E24" s="3">
        <f t="shared" si="0"/>
        <v>70</v>
      </c>
      <c r="F24" s="7" t="s">
        <v>18</v>
      </c>
      <c r="G24" s="3"/>
    </row>
    <row r="25" spans="1:7" ht="14.85" x14ac:dyDescent="0.25">
      <c r="A25" s="3" t="s">
        <v>283</v>
      </c>
      <c r="B25" s="3" t="s">
        <v>349</v>
      </c>
      <c r="C25" s="7" t="s">
        <v>17</v>
      </c>
      <c r="D25" s="7">
        <v>70</v>
      </c>
      <c r="E25" s="3">
        <f t="shared" si="0"/>
        <v>70</v>
      </c>
      <c r="F25" s="7" t="s">
        <v>11</v>
      </c>
      <c r="G25" s="7" t="s">
        <v>285</v>
      </c>
    </row>
    <row r="26" spans="1:7" ht="14.85" x14ac:dyDescent="0.25">
      <c r="A26" s="3" t="s">
        <v>283</v>
      </c>
      <c r="B26" s="3" t="s">
        <v>350</v>
      </c>
      <c r="C26" s="7" t="s">
        <v>39</v>
      </c>
      <c r="D26" s="7">
        <v>70</v>
      </c>
      <c r="E26" s="3">
        <f t="shared" si="0"/>
        <v>70</v>
      </c>
      <c r="F26" s="7" t="s">
        <v>11</v>
      </c>
      <c r="G26" s="7" t="s">
        <v>285</v>
      </c>
    </row>
    <row r="27" spans="1:7" ht="14.85" x14ac:dyDescent="0.25">
      <c r="A27" s="3" t="s">
        <v>283</v>
      </c>
      <c r="B27" s="3" t="s">
        <v>351</v>
      </c>
      <c r="C27" s="7" t="s">
        <v>39</v>
      </c>
      <c r="D27" s="7">
        <v>70</v>
      </c>
      <c r="E27" s="3">
        <f t="shared" si="0"/>
        <v>70</v>
      </c>
      <c r="F27" s="7" t="s">
        <v>24</v>
      </c>
      <c r="G27" s="3"/>
    </row>
    <row r="28" spans="1:7" ht="14.85" x14ac:dyDescent="0.25">
      <c r="A28" s="3" t="s">
        <v>283</v>
      </c>
      <c r="B28" s="7" t="s">
        <v>374</v>
      </c>
      <c r="C28" s="7" t="s">
        <v>10</v>
      </c>
      <c r="D28" s="7">
        <v>70</v>
      </c>
      <c r="E28" s="3">
        <f t="shared" si="0"/>
        <v>70</v>
      </c>
      <c r="F28" s="7" t="s">
        <v>18</v>
      </c>
      <c r="G28" s="3"/>
    </row>
    <row r="29" spans="1:7" ht="14.85" x14ac:dyDescent="0.25">
      <c r="A29" s="3" t="s">
        <v>283</v>
      </c>
      <c r="B29" s="3" t="s">
        <v>284</v>
      </c>
      <c r="C29" s="7" t="s">
        <v>39</v>
      </c>
      <c r="D29" s="7">
        <v>60</v>
      </c>
      <c r="E29" s="3">
        <f t="shared" si="0"/>
        <v>60</v>
      </c>
      <c r="F29" s="7" t="s">
        <v>11</v>
      </c>
      <c r="G29" s="7" t="s">
        <v>285</v>
      </c>
    </row>
    <row r="30" spans="1:7" ht="14.85" x14ac:dyDescent="0.25">
      <c r="A30" s="3" t="s">
        <v>283</v>
      </c>
      <c r="B30" s="3" t="s">
        <v>290</v>
      </c>
      <c r="C30" s="7" t="s">
        <v>17</v>
      </c>
      <c r="D30" s="7">
        <v>60</v>
      </c>
      <c r="E30" s="3">
        <f t="shared" si="0"/>
        <v>60</v>
      </c>
      <c r="F30" s="7" t="s">
        <v>32</v>
      </c>
      <c r="G30" s="3"/>
    </row>
    <row r="31" spans="1:7" ht="14.85" x14ac:dyDescent="0.25">
      <c r="A31" s="3" t="s">
        <v>283</v>
      </c>
      <c r="B31" s="3" t="s">
        <v>291</v>
      </c>
      <c r="C31" s="7" t="s">
        <v>10</v>
      </c>
      <c r="D31" s="7">
        <v>60</v>
      </c>
      <c r="E31" s="3">
        <f t="shared" si="0"/>
        <v>60</v>
      </c>
      <c r="F31" s="7" t="s">
        <v>32</v>
      </c>
      <c r="G31" s="3"/>
    </row>
    <row r="32" spans="1:7" ht="14.85" x14ac:dyDescent="0.25">
      <c r="A32" s="3" t="s">
        <v>283</v>
      </c>
      <c r="B32" s="3" t="s">
        <v>293</v>
      </c>
      <c r="C32" s="7" t="s">
        <v>17</v>
      </c>
      <c r="D32" s="7">
        <v>60</v>
      </c>
      <c r="E32" s="3">
        <f t="shared" si="0"/>
        <v>60</v>
      </c>
      <c r="F32" s="7" t="s">
        <v>32</v>
      </c>
      <c r="G32" s="3"/>
    </row>
    <row r="33" spans="1:7" ht="14.85" x14ac:dyDescent="0.25">
      <c r="A33" s="3" t="s">
        <v>283</v>
      </c>
      <c r="B33" s="3" t="s">
        <v>295</v>
      </c>
      <c r="C33" s="7" t="s">
        <v>10</v>
      </c>
      <c r="D33" s="7">
        <v>60</v>
      </c>
      <c r="E33" s="3">
        <f t="shared" si="0"/>
        <v>60</v>
      </c>
      <c r="F33" s="7" t="s">
        <v>18</v>
      </c>
      <c r="G33" s="3"/>
    </row>
    <row r="34" spans="1:7" ht="14.85" x14ac:dyDescent="0.25">
      <c r="A34" s="3" t="s">
        <v>283</v>
      </c>
      <c r="B34" s="3" t="s">
        <v>297</v>
      </c>
      <c r="C34" s="7" t="s">
        <v>17</v>
      </c>
      <c r="D34" s="7">
        <v>60</v>
      </c>
      <c r="E34" s="3">
        <f t="shared" si="0"/>
        <v>60</v>
      </c>
      <c r="F34" s="7" t="s">
        <v>11</v>
      </c>
      <c r="G34" s="3"/>
    </row>
    <row r="35" spans="1:7" ht="14.85" x14ac:dyDescent="0.25">
      <c r="A35" s="3" t="s">
        <v>283</v>
      </c>
      <c r="B35" s="3" t="s">
        <v>299</v>
      </c>
      <c r="C35" s="7" t="s">
        <v>17</v>
      </c>
      <c r="D35" s="7">
        <v>60</v>
      </c>
      <c r="E35" s="3">
        <f t="shared" si="0"/>
        <v>60</v>
      </c>
      <c r="F35" s="7" t="s">
        <v>24</v>
      </c>
      <c r="G35" s="3"/>
    </row>
    <row r="36" spans="1:7" ht="14.85" x14ac:dyDescent="0.25">
      <c r="A36" s="3" t="s">
        <v>283</v>
      </c>
      <c r="B36" s="3" t="s">
        <v>302</v>
      </c>
      <c r="C36" s="7" t="s">
        <v>14</v>
      </c>
      <c r="D36" s="7">
        <v>60</v>
      </c>
      <c r="E36" s="3">
        <f t="shared" si="0"/>
        <v>60</v>
      </c>
      <c r="F36" s="7" t="s">
        <v>24</v>
      </c>
      <c r="G36" s="7" t="s">
        <v>285</v>
      </c>
    </row>
    <row r="37" spans="1:7" ht="14.85" x14ac:dyDescent="0.25">
      <c r="A37" s="3" t="s">
        <v>283</v>
      </c>
      <c r="B37" s="3" t="s">
        <v>303</v>
      </c>
      <c r="C37" s="7" t="s">
        <v>10</v>
      </c>
      <c r="D37" s="7">
        <v>60</v>
      </c>
      <c r="E37" s="3">
        <f t="shared" si="0"/>
        <v>60</v>
      </c>
      <c r="F37" s="7" t="s">
        <v>24</v>
      </c>
      <c r="G37" s="3"/>
    </row>
    <row r="38" spans="1:7" ht="14.85" x14ac:dyDescent="0.25">
      <c r="A38" s="3" t="s">
        <v>283</v>
      </c>
      <c r="B38" s="3" t="s">
        <v>304</v>
      </c>
      <c r="C38" s="7" t="s">
        <v>17</v>
      </c>
      <c r="D38" s="7">
        <v>60</v>
      </c>
      <c r="E38" s="3">
        <f t="shared" si="0"/>
        <v>60</v>
      </c>
      <c r="F38" s="7" t="s">
        <v>11</v>
      </c>
      <c r="G38" s="3"/>
    </row>
    <row r="39" spans="1:7" ht="14.85" x14ac:dyDescent="0.25">
      <c r="A39" s="3" t="s">
        <v>283</v>
      </c>
      <c r="B39" s="3" t="s">
        <v>305</v>
      </c>
      <c r="C39" s="7" t="s">
        <v>39</v>
      </c>
      <c r="D39" s="7">
        <v>60</v>
      </c>
      <c r="E39" s="3">
        <f t="shared" si="0"/>
        <v>60</v>
      </c>
      <c r="F39" s="7" t="s">
        <v>24</v>
      </c>
      <c r="G39" s="3"/>
    </row>
    <row r="40" spans="1:7" ht="14.85" x14ac:dyDescent="0.25">
      <c r="A40" s="3" t="s">
        <v>283</v>
      </c>
      <c r="B40" s="3" t="s">
        <v>306</v>
      </c>
      <c r="C40" s="7" t="s">
        <v>10</v>
      </c>
      <c r="D40" s="7">
        <v>60</v>
      </c>
      <c r="E40" s="3">
        <f t="shared" si="0"/>
        <v>60</v>
      </c>
      <c r="F40" s="7" t="s">
        <v>11</v>
      </c>
      <c r="G40" s="3"/>
    </row>
    <row r="41" spans="1:7" ht="14.85" x14ac:dyDescent="0.25">
      <c r="A41" s="3" t="s">
        <v>283</v>
      </c>
      <c r="B41" s="3" t="s">
        <v>307</v>
      </c>
      <c r="C41" s="7" t="s">
        <v>14</v>
      </c>
      <c r="D41" s="7">
        <v>60</v>
      </c>
      <c r="E41" s="3">
        <f t="shared" si="0"/>
        <v>60</v>
      </c>
      <c r="F41" s="7" t="s">
        <v>11</v>
      </c>
      <c r="G41" s="3"/>
    </row>
    <row r="42" spans="1:7" ht="14.85" x14ac:dyDescent="0.25">
      <c r="A42" s="3" t="s">
        <v>283</v>
      </c>
      <c r="B42" s="3" t="s">
        <v>309</v>
      </c>
      <c r="C42" s="7" t="s">
        <v>14</v>
      </c>
      <c r="D42" s="7">
        <v>60</v>
      </c>
      <c r="E42" s="3">
        <f t="shared" si="0"/>
        <v>60</v>
      </c>
      <c r="F42" s="7" t="s">
        <v>18</v>
      </c>
      <c r="G42" s="7" t="s">
        <v>285</v>
      </c>
    </row>
    <row r="43" spans="1:7" ht="14.85" x14ac:dyDescent="0.25">
      <c r="A43" s="3" t="s">
        <v>283</v>
      </c>
      <c r="B43" s="3" t="s">
        <v>310</v>
      </c>
      <c r="C43" s="7" t="s">
        <v>14</v>
      </c>
      <c r="D43" s="7">
        <v>60</v>
      </c>
      <c r="E43" s="3">
        <f t="shared" si="0"/>
        <v>60</v>
      </c>
      <c r="F43" s="7" t="s">
        <v>24</v>
      </c>
      <c r="G43" s="7" t="s">
        <v>285</v>
      </c>
    </row>
    <row r="44" spans="1:7" ht="14.85" x14ac:dyDescent="0.25">
      <c r="A44" s="3" t="s">
        <v>283</v>
      </c>
      <c r="B44" s="3" t="s">
        <v>318</v>
      </c>
      <c r="C44" s="7" t="s">
        <v>14</v>
      </c>
      <c r="D44" s="7">
        <v>60</v>
      </c>
      <c r="E44" s="3">
        <f t="shared" si="0"/>
        <v>60</v>
      </c>
      <c r="F44" s="7" t="s">
        <v>11</v>
      </c>
      <c r="G44" s="3"/>
    </row>
    <row r="45" spans="1:7" ht="14.85" x14ac:dyDescent="0.25">
      <c r="A45" s="3" t="s">
        <v>283</v>
      </c>
      <c r="B45" s="3" t="s">
        <v>319</v>
      </c>
      <c r="C45" s="7" t="s">
        <v>10</v>
      </c>
      <c r="D45" s="7">
        <v>60</v>
      </c>
      <c r="E45" s="3">
        <f t="shared" si="0"/>
        <v>60</v>
      </c>
      <c r="F45" s="7" t="s">
        <v>18</v>
      </c>
      <c r="G45" s="7" t="s">
        <v>285</v>
      </c>
    </row>
    <row r="46" spans="1:7" ht="14.85" x14ac:dyDescent="0.25">
      <c r="A46" s="3" t="s">
        <v>283</v>
      </c>
      <c r="B46" s="3" t="s">
        <v>320</v>
      </c>
      <c r="C46" s="7" t="s">
        <v>10</v>
      </c>
      <c r="D46" s="7">
        <v>60</v>
      </c>
      <c r="E46" s="3">
        <f t="shared" si="0"/>
        <v>60</v>
      </c>
      <c r="F46" s="7" t="s">
        <v>11</v>
      </c>
      <c r="G46" s="3"/>
    </row>
    <row r="47" spans="1:7" ht="14.85" x14ac:dyDescent="0.25">
      <c r="A47" s="3" t="s">
        <v>283</v>
      </c>
      <c r="B47" s="3" t="s">
        <v>323</v>
      </c>
      <c r="C47" s="7" t="s">
        <v>10</v>
      </c>
      <c r="D47" s="7">
        <v>60</v>
      </c>
      <c r="E47" s="3">
        <f t="shared" si="0"/>
        <v>60</v>
      </c>
      <c r="F47" s="7" t="s">
        <v>18</v>
      </c>
      <c r="G47" s="3"/>
    </row>
    <row r="48" spans="1:7" ht="14.85" x14ac:dyDescent="0.25">
      <c r="A48" s="3" t="s">
        <v>283</v>
      </c>
      <c r="B48" s="3" t="s">
        <v>324</v>
      </c>
      <c r="C48" s="7" t="s">
        <v>39</v>
      </c>
      <c r="D48" s="7">
        <v>60</v>
      </c>
      <c r="E48" s="3">
        <f t="shared" si="0"/>
        <v>60</v>
      </c>
      <c r="F48" s="7" t="s">
        <v>24</v>
      </c>
      <c r="G48" s="3"/>
    </row>
    <row r="49" spans="1:7" ht="14.85" x14ac:dyDescent="0.25">
      <c r="A49" s="3" t="s">
        <v>283</v>
      </c>
      <c r="B49" s="3" t="s">
        <v>325</v>
      </c>
      <c r="C49" s="7" t="s">
        <v>14</v>
      </c>
      <c r="D49" s="7">
        <v>60</v>
      </c>
      <c r="E49" s="3">
        <f t="shared" si="0"/>
        <v>60</v>
      </c>
      <c r="F49" s="7" t="s">
        <v>24</v>
      </c>
      <c r="G49" s="7" t="s">
        <v>285</v>
      </c>
    </row>
    <row r="50" spans="1:7" ht="14.85" x14ac:dyDescent="0.25">
      <c r="A50" s="3" t="s">
        <v>283</v>
      </c>
      <c r="B50" s="3" t="s">
        <v>328</v>
      </c>
      <c r="C50" s="7" t="s">
        <v>14</v>
      </c>
      <c r="D50" s="7">
        <v>60</v>
      </c>
      <c r="E50" s="3">
        <f t="shared" si="0"/>
        <v>60</v>
      </c>
      <c r="F50" s="7" t="s">
        <v>24</v>
      </c>
      <c r="G50" s="3"/>
    </row>
    <row r="51" spans="1:7" ht="14.85" x14ac:dyDescent="0.25">
      <c r="A51" s="3" t="s">
        <v>283</v>
      </c>
      <c r="B51" s="3" t="s">
        <v>329</v>
      </c>
      <c r="C51" s="7" t="s">
        <v>39</v>
      </c>
      <c r="D51" s="7">
        <v>60</v>
      </c>
      <c r="E51" s="3">
        <f t="shared" si="0"/>
        <v>60</v>
      </c>
      <c r="F51" s="7" t="s">
        <v>18</v>
      </c>
      <c r="G51" s="3"/>
    </row>
    <row r="52" spans="1:7" ht="14.85" x14ac:dyDescent="0.25">
      <c r="A52" s="3" t="s">
        <v>283</v>
      </c>
      <c r="B52" s="3" t="s">
        <v>331</v>
      </c>
      <c r="C52" s="7" t="s">
        <v>14</v>
      </c>
      <c r="D52" s="7">
        <v>60</v>
      </c>
      <c r="E52" s="3">
        <f t="shared" si="0"/>
        <v>60</v>
      </c>
      <c r="F52" s="7" t="s">
        <v>18</v>
      </c>
      <c r="G52" s="3"/>
    </row>
    <row r="53" spans="1:7" ht="14.85" x14ac:dyDescent="0.25">
      <c r="A53" s="3" t="s">
        <v>283</v>
      </c>
      <c r="B53" s="3" t="s">
        <v>334</v>
      </c>
      <c r="C53" s="7" t="s">
        <v>17</v>
      </c>
      <c r="D53" s="7">
        <v>60</v>
      </c>
      <c r="E53" s="3">
        <f t="shared" si="0"/>
        <v>60</v>
      </c>
      <c r="F53" s="7" t="s">
        <v>11</v>
      </c>
      <c r="G53" s="3"/>
    </row>
    <row r="54" spans="1:7" ht="14.85" x14ac:dyDescent="0.25">
      <c r="A54" s="3" t="s">
        <v>283</v>
      </c>
      <c r="B54" s="3" t="s">
        <v>335</v>
      </c>
      <c r="C54" s="7" t="s">
        <v>17</v>
      </c>
      <c r="D54" s="7">
        <v>60</v>
      </c>
      <c r="E54" s="3">
        <f t="shared" si="0"/>
        <v>60</v>
      </c>
      <c r="F54" s="7" t="s">
        <v>11</v>
      </c>
      <c r="G54" s="7" t="s">
        <v>285</v>
      </c>
    </row>
    <row r="55" spans="1:7" ht="14.85" x14ac:dyDescent="0.25">
      <c r="A55" s="3" t="s">
        <v>283</v>
      </c>
      <c r="B55" s="3" t="s">
        <v>337</v>
      </c>
      <c r="C55" s="7" t="s">
        <v>10</v>
      </c>
      <c r="D55" s="7">
        <v>60</v>
      </c>
      <c r="E55" s="3">
        <f t="shared" si="0"/>
        <v>60</v>
      </c>
      <c r="F55" s="7" t="s">
        <v>18</v>
      </c>
      <c r="G55" s="3"/>
    </row>
    <row r="56" spans="1:7" ht="14.85" x14ac:dyDescent="0.25">
      <c r="A56" s="3" t="s">
        <v>283</v>
      </c>
      <c r="B56" s="3" t="s">
        <v>340</v>
      </c>
      <c r="C56" s="7" t="s">
        <v>10</v>
      </c>
      <c r="D56" s="7">
        <v>60</v>
      </c>
      <c r="E56" s="3">
        <f t="shared" si="0"/>
        <v>60</v>
      </c>
      <c r="F56" s="7" t="s">
        <v>24</v>
      </c>
      <c r="G56" s="7" t="s">
        <v>285</v>
      </c>
    </row>
    <row r="57" spans="1:7" ht="14.85" x14ac:dyDescent="0.25">
      <c r="A57" s="3" t="s">
        <v>283</v>
      </c>
      <c r="B57" s="3" t="s">
        <v>342</v>
      </c>
      <c r="C57" s="7" t="s">
        <v>14</v>
      </c>
      <c r="D57" s="7">
        <v>60</v>
      </c>
      <c r="E57" s="3">
        <f t="shared" si="0"/>
        <v>60</v>
      </c>
      <c r="F57" s="7" t="s">
        <v>24</v>
      </c>
      <c r="G57" s="3"/>
    </row>
    <row r="58" spans="1:7" ht="14.85" x14ac:dyDescent="0.25">
      <c r="A58" s="3" t="s">
        <v>283</v>
      </c>
      <c r="B58" s="3" t="s">
        <v>343</v>
      </c>
      <c r="C58" s="7" t="s">
        <v>14</v>
      </c>
      <c r="D58" s="7">
        <v>60</v>
      </c>
      <c r="E58" s="3">
        <f t="shared" si="0"/>
        <v>60</v>
      </c>
      <c r="F58" s="7" t="s">
        <v>24</v>
      </c>
      <c r="G58" s="3"/>
    </row>
    <row r="59" spans="1:7" ht="14.85" x14ac:dyDescent="0.25">
      <c r="A59" s="3" t="s">
        <v>283</v>
      </c>
      <c r="B59" s="3" t="s">
        <v>344</v>
      </c>
      <c r="C59" s="7" t="s">
        <v>17</v>
      </c>
      <c r="D59" s="7">
        <v>60</v>
      </c>
      <c r="E59" s="3">
        <f t="shared" si="0"/>
        <v>60</v>
      </c>
      <c r="F59" s="7" t="s">
        <v>11</v>
      </c>
      <c r="G59" s="3"/>
    </row>
    <row r="60" spans="1:7" ht="14.85" x14ac:dyDescent="0.25">
      <c r="A60" s="3" t="s">
        <v>283</v>
      </c>
      <c r="B60" s="7" t="s">
        <v>347</v>
      </c>
      <c r="C60" s="7" t="s">
        <v>14</v>
      </c>
      <c r="D60" s="7">
        <v>60</v>
      </c>
      <c r="E60" s="3">
        <f t="shared" si="0"/>
        <v>60</v>
      </c>
      <c r="F60" s="7" t="s">
        <v>11</v>
      </c>
      <c r="G60" s="3"/>
    </row>
    <row r="61" spans="1:7" ht="14.85" x14ac:dyDescent="0.25">
      <c r="A61" s="3" t="s">
        <v>283</v>
      </c>
      <c r="B61" s="3" t="s">
        <v>348</v>
      </c>
      <c r="C61" s="7" t="s">
        <v>39</v>
      </c>
      <c r="D61" s="7">
        <v>60</v>
      </c>
      <c r="E61" s="3">
        <f t="shared" si="0"/>
        <v>60</v>
      </c>
      <c r="F61" s="7" t="s">
        <v>11</v>
      </c>
      <c r="G61" s="7" t="s">
        <v>285</v>
      </c>
    </row>
    <row r="62" spans="1:7" ht="14.85" x14ac:dyDescent="0.25">
      <c r="A62" s="3" t="s">
        <v>283</v>
      </c>
      <c r="B62" s="3" t="s">
        <v>352</v>
      </c>
      <c r="C62" s="7" t="s">
        <v>10</v>
      </c>
      <c r="D62" s="7">
        <v>60</v>
      </c>
      <c r="E62" s="3">
        <f t="shared" si="0"/>
        <v>60</v>
      </c>
      <c r="F62" s="7" t="s">
        <v>32</v>
      </c>
      <c r="G62" s="3"/>
    </row>
    <row r="63" spans="1:7" ht="14.85" x14ac:dyDescent="0.25">
      <c r="A63" s="3" t="s">
        <v>283</v>
      </c>
      <c r="B63" s="3" t="s">
        <v>354</v>
      </c>
      <c r="C63" s="7" t="s">
        <v>17</v>
      </c>
      <c r="D63" s="7">
        <v>60</v>
      </c>
      <c r="E63" s="3">
        <f t="shared" si="0"/>
        <v>60</v>
      </c>
      <c r="F63" s="7" t="s">
        <v>24</v>
      </c>
      <c r="G63" s="3"/>
    </row>
    <row r="64" spans="1:7" ht="14.85" x14ac:dyDescent="0.25">
      <c r="A64" s="3" t="s">
        <v>283</v>
      </c>
      <c r="B64" s="3" t="s">
        <v>358</v>
      </c>
      <c r="C64" s="7" t="s">
        <v>14</v>
      </c>
      <c r="D64" s="7">
        <v>60</v>
      </c>
      <c r="E64" s="3">
        <f t="shared" si="0"/>
        <v>60</v>
      </c>
      <c r="F64" s="7" t="s">
        <v>11</v>
      </c>
      <c r="G64" s="7" t="s">
        <v>285</v>
      </c>
    </row>
    <row r="65" spans="1:7" ht="14.85" x14ac:dyDescent="0.25">
      <c r="A65" s="3" t="s">
        <v>283</v>
      </c>
      <c r="B65" s="3" t="s">
        <v>359</v>
      </c>
      <c r="C65" s="7" t="s">
        <v>14</v>
      </c>
      <c r="D65" s="7">
        <v>60</v>
      </c>
      <c r="E65" s="3">
        <f t="shared" si="0"/>
        <v>60</v>
      </c>
      <c r="F65" s="7" t="s">
        <v>24</v>
      </c>
      <c r="G65" s="3"/>
    </row>
    <row r="66" spans="1:7" ht="14.85" x14ac:dyDescent="0.25">
      <c r="A66" s="3" t="s">
        <v>283</v>
      </c>
      <c r="B66" s="3" t="s">
        <v>361</v>
      </c>
      <c r="C66" s="7" t="s">
        <v>39</v>
      </c>
      <c r="D66" s="7">
        <v>60</v>
      </c>
      <c r="E66" s="3">
        <f t="shared" si="0"/>
        <v>60</v>
      </c>
      <c r="F66" s="7" t="s">
        <v>32</v>
      </c>
      <c r="G66" s="7" t="s">
        <v>285</v>
      </c>
    </row>
    <row r="67" spans="1:7" ht="14.85" x14ac:dyDescent="0.25">
      <c r="A67" s="3" t="s">
        <v>283</v>
      </c>
      <c r="B67" s="3" t="s">
        <v>364</v>
      </c>
      <c r="C67" s="7" t="s">
        <v>158</v>
      </c>
      <c r="D67" s="7">
        <v>60</v>
      </c>
      <c r="E67" s="3">
        <f t="shared" si="0"/>
        <v>60</v>
      </c>
      <c r="F67" s="7" t="s">
        <v>24</v>
      </c>
      <c r="G67" s="7" t="s">
        <v>285</v>
      </c>
    </row>
    <row r="68" spans="1:7" ht="14.85" x14ac:dyDescent="0.25">
      <c r="A68" s="3" t="s">
        <v>283</v>
      </c>
      <c r="B68" s="7" t="s">
        <v>370</v>
      </c>
      <c r="C68" s="7" t="s">
        <v>10</v>
      </c>
      <c r="D68" s="7">
        <v>60</v>
      </c>
      <c r="E68" s="3">
        <f t="shared" si="0"/>
        <v>60</v>
      </c>
      <c r="F68" s="7" t="s">
        <v>18</v>
      </c>
      <c r="G68" s="3"/>
    </row>
    <row r="69" spans="1:7" ht="14.85" x14ac:dyDescent="0.25">
      <c r="A69" s="3" t="s">
        <v>283</v>
      </c>
      <c r="B69" s="7" t="s">
        <v>372</v>
      </c>
      <c r="C69" s="7" t="s">
        <v>10</v>
      </c>
      <c r="D69" s="7">
        <v>60</v>
      </c>
      <c r="E69" s="3">
        <f t="shared" si="0"/>
        <v>60</v>
      </c>
      <c r="F69" s="7" t="s">
        <v>18</v>
      </c>
      <c r="G69" s="3"/>
    </row>
    <row r="70" spans="1:7" ht="14.85" x14ac:dyDescent="0.25">
      <c r="A70" s="3" t="s">
        <v>283</v>
      </c>
      <c r="B70" s="3" t="s">
        <v>286</v>
      </c>
      <c r="C70" s="7" t="s">
        <v>17</v>
      </c>
      <c r="D70" s="7">
        <v>50</v>
      </c>
      <c r="E70" s="3">
        <f t="shared" si="0"/>
        <v>50</v>
      </c>
      <c r="F70" s="7" t="s">
        <v>18</v>
      </c>
      <c r="G70" s="3"/>
    </row>
    <row r="71" spans="1:7" ht="14.85" x14ac:dyDescent="0.25">
      <c r="A71" s="3" t="s">
        <v>283</v>
      </c>
      <c r="B71" s="3" t="s">
        <v>287</v>
      </c>
      <c r="C71" s="7" t="s">
        <v>10</v>
      </c>
      <c r="D71" s="7">
        <v>50</v>
      </c>
      <c r="E71" s="3">
        <f t="shared" si="0"/>
        <v>50</v>
      </c>
      <c r="F71" s="7" t="s">
        <v>18</v>
      </c>
      <c r="G71" s="3"/>
    </row>
    <row r="72" spans="1:7" ht="14.85" x14ac:dyDescent="0.25">
      <c r="A72" s="3" t="s">
        <v>283</v>
      </c>
      <c r="B72" s="3" t="s">
        <v>288</v>
      </c>
      <c r="C72" s="7" t="s">
        <v>39</v>
      </c>
      <c r="D72" s="7">
        <v>50</v>
      </c>
      <c r="E72" s="3">
        <f t="shared" si="0"/>
        <v>50</v>
      </c>
      <c r="F72" s="7" t="s">
        <v>18</v>
      </c>
      <c r="G72" s="3"/>
    </row>
    <row r="73" spans="1:7" ht="14.85" x14ac:dyDescent="0.25">
      <c r="A73" s="3" t="s">
        <v>283</v>
      </c>
      <c r="B73" s="3" t="s">
        <v>289</v>
      </c>
      <c r="C73" s="7" t="s">
        <v>17</v>
      </c>
      <c r="D73" s="7">
        <v>50</v>
      </c>
      <c r="E73" s="3">
        <f t="shared" si="0"/>
        <v>50</v>
      </c>
      <c r="F73" s="7" t="s">
        <v>32</v>
      </c>
      <c r="G73" s="3"/>
    </row>
    <row r="74" spans="1:7" ht="14.85" x14ac:dyDescent="0.25">
      <c r="A74" s="3" t="s">
        <v>283</v>
      </c>
      <c r="B74" s="3" t="s">
        <v>292</v>
      </c>
      <c r="C74" s="7" t="s">
        <v>17</v>
      </c>
      <c r="D74" s="7">
        <v>50</v>
      </c>
      <c r="E74" s="3">
        <f t="shared" si="0"/>
        <v>50</v>
      </c>
      <c r="F74" s="7" t="s">
        <v>24</v>
      </c>
      <c r="G74" s="3"/>
    </row>
    <row r="75" spans="1:7" ht="14.85" x14ac:dyDescent="0.25">
      <c r="A75" s="3" t="s">
        <v>283</v>
      </c>
      <c r="B75" s="3" t="s">
        <v>294</v>
      </c>
      <c r="C75" s="7" t="s">
        <v>39</v>
      </c>
      <c r="D75" s="7">
        <v>50</v>
      </c>
      <c r="E75" s="3">
        <f t="shared" si="0"/>
        <v>50</v>
      </c>
      <c r="F75" s="7" t="s">
        <v>24</v>
      </c>
      <c r="G75" s="3"/>
    </row>
    <row r="76" spans="1:7" ht="14.85" x14ac:dyDescent="0.25">
      <c r="A76" s="3" t="s">
        <v>283</v>
      </c>
      <c r="B76" s="3" t="s">
        <v>296</v>
      </c>
      <c r="C76" s="7" t="s">
        <v>10</v>
      </c>
      <c r="D76" s="7">
        <v>50</v>
      </c>
      <c r="E76" s="3">
        <f t="shared" si="0"/>
        <v>50</v>
      </c>
      <c r="F76" s="7" t="s">
        <v>18</v>
      </c>
      <c r="G76" s="7" t="s">
        <v>285</v>
      </c>
    </row>
    <row r="77" spans="1:7" ht="14.85" x14ac:dyDescent="0.25">
      <c r="A77" s="3" t="s">
        <v>283</v>
      </c>
      <c r="B77" s="3" t="s">
        <v>301</v>
      </c>
      <c r="C77" s="7" t="s">
        <v>10</v>
      </c>
      <c r="D77" s="7">
        <v>50</v>
      </c>
      <c r="E77" s="3">
        <f t="shared" si="0"/>
        <v>50</v>
      </c>
      <c r="F77" s="7" t="s">
        <v>24</v>
      </c>
      <c r="G77" s="3"/>
    </row>
    <row r="78" spans="1:7" ht="14.85" x14ac:dyDescent="0.25">
      <c r="A78" s="3" t="s">
        <v>283</v>
      </c>
      <c r="B78" s="3" t="s">
        <v>317</v>
      </c>
      <c r="C78" s="7" t="s">
        <v>10</v>
      </c>
      <c r="D78" s="7">
        <v>50</v>
      </c>
      <c r="E78" s="3">
        <f t="shared" si="0"/>
        <v>50</v>
      </c>
      <c r="F78" s="7" t="s">
        <v>24</v>
      </c>
      <c r="G78" s="3"/>
    </row>
    <row r="79" spans="1:7" ht="14.85" x14ac:dyDescent="0.25">
      <c r="A79" s="3" t="s">
        <v>283</v>
      </c>
      <c r="B79" s="3" t="s">
        <v>336</v>
      </c>
      <c r="C79" s="7" t="s">
        <v>14</v>
      </c>
      <c r="D79" s="7">
        <v>50</v>
      </c>
      <c r="E79" s="3">
        <f t="shared" si="0"/>
        <v>50</v>
      </c>
      <c r="F79" s="7" t="s">
        <v>11</v>
      </c>
      <c r="G79" s="3"/>
    </row>
    <row r="80" spans="1:7" ht="14.85" x14ac:dyDescent="0.25">
      <c r="A80" s="3" t="s">
        <v>283</v>
      </c>
      <c r="B80" s="3" t="s">
        <v>338</v>
      </c>
      <c r="C80" s="7" t="s">
        <v>17</v>
      </c>
      <c r="D80" s="7">
        <v>50</v>
      </c>
      <c r="E80" s="3">
        <f t="shared" si="0"/>
        <v>50</v>
      </c>
      <c r="F80" s="7" t="s">
        <v>24</v>
      </c>
      <c r="G80" s="3"/>
    </row>
    <row r="81" spans="1:8" ht="14.85" x14ac:dyDescent="0.25">
      <c r="A81" s="3" t="s">
        <v>283</v>
      </c>
      <c r="B81" s="3" t="s">
        <v>339</v>
      </c>
      <c r="C81" s="7" t="s">
        <v>10</v>
      </c>
      <c r="D81" s="7">
        <v>50</v>
      </c>
      <c r="E81" s="3">
        <f t="shared" si="0"/>
        <v>50</v>
      </c>
      <c r="F81" s="7" t="s">
        <v>18</v>
      </c>
      <c r="G81" s="3"/>
    </row>
    <row r="82" spans="1:8" ht="14.85" x14ac:dyDescent="0.25">
      <c r="A82" s="3" t="s">
        <v>283</v>
      </c>
      <c r="B82" s="3" t="s">
        <v>356</v>
      </c>
      <c r="C82" s="7" t="s">
        <v>17</v>
      </c>
      <c r="D82" s="7">
        <v>50</v>
      </c>
      <c r="E82" s="3">
        <f t="shared" si="0"/>
        <v>50</v>
      </c>
      <c r="F82" s="7" t="s">
        <v>24</v>
      </c>
      <c r="G82" s="3"/>
    </row>
    <row r="83" spans="1:8" ht="14.85" x14ac:dyDescent="0.25">
      <c r="A83" s="3" t="s">
        <v>283</v>
      </c>
      <c r="B83" s="3" t="s">
        <v>363</v>
      </c>
      <c r="C83" s="7" t="s">
        <v>158</v>
      </c>
      <c r="D83" s="7">
        <v>50</v>
      </c>
      <c r="E83" s="3">
        <f t="shared" si="0"/>
        <v>50</v>
      </c>
      <c r="F83" s="7" t="s">
        <v>24</v>
      </c>
      <c r="G83" s="3"/>
    </row>
    <row r="84" spans="1:8" ht="14.85" x14ac:dyDescent="0.25">
      <c r="A84" s="3" t="s">
        <v>283</v>
      </c>
      <c r="B84" s="7" t="s">
        <v>371</v>
      </c>
      <c r="C84" s="7" t="s">
        <v>17</v>
      </c>
      <c r="D84" s="7">
        <v>50</v>
      </c>
      <c r="E84" s="3">
        <f t="shared" si="0"/>
        <v>50</v>
      </c>
      <c r="F84" s="7" t="s">
        <v>18</v>
      </c>
      <c r="G84" s="3"/>
    </row>
    <row r="85" spans="1:8" ht="14.85" x14ac:dyDescent="0.25">
      <c r="A85" s="3" t="s">
        <v>283</v>
      </c>
      <c r="B85" s="7" t="s">
        <v>375</v>
      </c>
      <c r="C85" s="7" t="s">
        <v>39</v>
      </c>
      <c r="D85" s="7">
        <v>45</v>
      </c>
      <c r="E85" s="3">
        <f t="shared" si="0"/>
        <v>45</v>
      </c>
      <c r="F85" s="7" t="s">
        <v>24</v>
      </c>
      <c r="G85" s="3"/>
      <c r="H85" s="7" t="s">
        <v>469</v>
      </c>
    </row>
    <row r="86" spans="1:8" ht="14.85" x14ac:dyDescent="0.25">
      <c r="A86" s="3" t="s">
        <v>283</v>
      </c>
      <c r="B86" s="7" t="s">
        <v>365</v>
      </c>
      <c r="C86" s="7" t="s">
        <v>192</v>
      </c>
      <c r="D86" s="7">
        <v>30</v>
      </c>
      <c r="E86" s="3">
        <f t="shared" si="0"/>
        <v>30</v>
      </c>
      <c r="F86" s="7" t="s">
        <v>18</v>
      </c>
      <c r="G86" s="3"/>
    </row>
    <row r="87" spans="1:8" ht="14.85" x14ac:dyDescent="0.25">
      <c r="A87" s="3" t="s">
        <v>283</v>
      </c>
      <c r="B87" s="7" t="s">
        <v>366</v>
      </c>
      <c r="C87" s="7" t="s">
        <v>192</v>
      </c>
      <c r="D87" s="7">
        <v>30</v>
      </c>
      <c r="E87" s="3">
        <f t="shared" si="0"/>
        <v>30</v>
      </c>
      <c r="F87" s="7" t="s">
        <v>18</v>
      </c>
      <c r="G87" s="3"/>
    </row>
    <row r="88" spans="1:8" ht="14.85" x14ac:dyDescent="0.25">
      <c r="A88" s="3" t="s">
        <v>283</v>
      </c>
      <c r="B88" s="7" t="s">
        <v>367</v>
      </c>
      <c r="C88" s="7" t="s">
        <v>192</v>
      </c>
      <c r="D88" s="7">
        <v>30</v>
      </c>
      <c r="E88" s="3">
        <f t="shared" si="0"/>
        <v>30</v>
      </c>
      <c r="F88" s="7" t="s">
        <v>18</v>
      </c>
      <c r="G88" s="3"/>
    </row>
    <row r="89" spans="1:8" ht="14.85" x14ac:dyDescent="0.25">
      <c r="A89" s="3" t="s">
        <v>283</v>
      </c>
      <c r="B89" s="7" t="s">
        <v>368</v>
      </c>
      <c r="C89" s="7" t="s">
        <v>192</v>
      </c>
      <c r="D89" s="7">
        <v>30</v>
      </c>
      <c r="E89" s="3">
        <f t="shared" si="0"/>
        <v>30</v>
      </c>
      <c r="F89" s="7" t="s">
        <v>18</v>
      </c>
      <c r="G89" s="3"/>
    </row>
    <row r="90" spans="1:8" ht="14.85" x14ac:dyDescent="0.25">
      <c r="A90" s="3" t="s">
        <v>283</v>
      </c>
      <c r="B90" s="7" t="s">
        <v>369</v>
      </c>
      <c r="C90" s="7" t="s">
        <v>192</v>
      </c>
      <c r="D90" s="7">
        <v>30</v>
      </c>
      <c r="E90" s="3">
        <f t="shared" si="0"/>
        <v>30</v>
      </c>
      <c r="F90" s="7" t="s">
        <v>18</v>
      </c>
      <c r="G90" s="3"/>
    </row>
    <row r="91" spans="1:8" ht="14.85" x14ac:dyDescent="0.25">
      <c r="A91" s="3" t="s">
        <v>283</v>
      </c>
      <c r="B91" s="3" t="s">
        <v>353</v>
      </c>
      <c r="C91" s="7" t="s">
        <v>10</v>
      </c>
      <c r="E91" s="3">
        <f t="shared" si="0"/>
        <v>0</v>
      </c>
      <c r="F91" s="3"/>
      <c r="G91" s="3"/>
    </row>
    <row r="92" spans="1:8" ht="14.85" x14ac:dyDescent="0.25">
      <c r="A92" s="3" t="s">
        <v>283</v>
      </c>
      <c r="B92" s="3" t="s">
        <v>357</v>
      </c>
      <c r="C92" s="7" t="s">
        <v>14</v>
      </c>
      <c r="E92" s="3">
        <f t="shared" si="0"/>
        <v>0</v>
      </c>
      <c r="F92" s="3"/>
      <c r="G92" s="7" t="s">
        <v>285</v>
      </c>
    </row>
    <row r="93" spans="1:8" ht="14.85" x14ac:dyDescent="0.25">
      <c r="C93" s="3"/>
      <c r="F93" s="3"/>
      <c r="G93" s="3"/>
    </row>
    <row r="94" spans="1:8" ht="14.85" x14ac:dyDescent="0.25">
      <c r="C94" s="3"/>
      <c r="E94" s="3">
        <f>IF(D94=85, 80, D94)</f>
        <v>0</v>
      </c>
      <c r="F94" s="3"/>
      <c r="G94" s="3"/>
    </row>
    <row r="95" spans="1:8" ht="14.85" x14ac:dyDescent="0.25">
      <c r="C95" s="3"/>
      <c r="F95" s="3"/>
      <c r="G95" s="3"/>
    </row>
    <row r="96" spans="1:8" ht="14.85" x14ac:dyDescent="0.25">
      <c r="C96" s="3"/>
      <c r="F96" s="3"/>
      <c r="G96" s="3"/>
    </row>
    <row r="97" spans="3:7" ht="14.85" x14ac:dyDescent="0.25">
      <c r="C97" s="3"/>
      <c r="F97" s="3"/>
      <c r="G97" s="3"/>
    </row>
    <row r="98" spans="3:7" ht="14.85" x14ac:dyDescent="0.25">
      <c r="C98" s="3"/>
      <c r="F98" s="3"/>
      <c r="G98" s="3"/>
    </row>
    <row r="99" spans="3:7" ht="14.85" x14ac:dyDescent="0.25">
      <c r="C99" s="3"/>
      <c r="F99" s="3"/>
      <c r="G99" s="3"/>
    </row>
    <row r="100" spans="3:7" ht="14.85" x14ac:dyDescent="0.25">
      <c r="C100" s="3"/>
      <c r="F100" s="3"/>
      <c r="G100" s="3"/>
    </row>
    <row r="101" spans="3:7" ht="14.85" x14ac:dyDescent="0.25">
      <c r="C101" s="3"/>
      <c r="F101" s="3"/>
      <c r="G101" s="3"/>
    </row>
    <row r="102" spans="3:7" ht="14.85" x14ac:dyDescent="0.25">
      <c r="C102" s="3"/>
      <c r="F102" s="3"/>
      <c r="G102" s="3"/>
    </row>
    <row r="103" spans="3:7" ht="14.85" x14ac:dyDescent="0.25">
      <c r="C103" s="3"/>
      <c r="F103" s="3"/>
      <c r="G103" s="3"/>
    </row>
    <row r="104" spans="3:7" ht="14.85" x14ac:dyDescent="0.25">
      <c r="C104" s="3"/>
      <c r="F104" s="3"/>
      <c r="G104" s="3"/>
    </row>
    <row r="105" spans="3:7" ht="14.85" x14ac:dyDescent="0.25">
      <c r="C105" s="3"/>
      <c r="F105" s="3"/>
      <c r="G105" s="3"/>
    </row>
    <row r="106" spans="3:7" ht="14.85" x14ac:dyDescent="0.25">
      <c r="C106" s="3"/>
      <c r="F106" s="3"/>
      <c r="G106" s="3"/>
    </row>
    <row r="107" spans="3:7" ht="14.85" x14ac:dyDescent="0.25">
      <c r="C107" s="3"/>
      <c r="F107" s="3"/>
      <c r="G107" s="3"/>
    </row>
    <row r="108" spans="3:7" ht="14.85" x14ac:dyDescent="0.25">
      <c r="C108" s="3"/>
      <c r="F108" s="3"/>
      <c r="G108" s="3"/>
    </row>
    <row r="109" spans="3:7" ht="14.85" x14ac:dyDescent="0.25">
      <c r="C109" s="3"/>
      <c r="F109" s="3"/>
      <c r="G109" s="3"/>
    </row>
    <row r="110" spans="3:7" ht="14.85" x14ac:dyDescent="0.25">
      <c r="C110" s="3"/>
      <c r="F110" s="3"/>
      <c r="G110" s="3"/>
    </row>
    <row r="111" spans="3:7" ht="14.85" x14ac:dyDescent="0.25">
      <c r="C111" s="3"/>
      <c r="F111" s="3"/>
      <c r="G111" s="3"/>
    </row>
    <row r="112" spans="3:7" ht="14.85" x14ac:dyDescent="0.25">
      <c r="C112" s="3"/>
      <c r="F112" s="3"/>
      <c r="G112" s="3"/>
    </row>
    <row r="113" spans="3:7" ht="14.85" x14ac:dyDescent="0.25">
      <c r="C113" s="3"/>
      <c r="F113" s="3"/>
      <c r="G113" s="3"/>
    </row>
    <row r="114" spans="3:7" ht="14.85" x14ac:dyDescent="0.25">
      <c r="C114" s="3"/>
      <c r="F114" s="3"/>
      <c r="G114" s="3"/>
    </row>
    <row r="115" spans="3:7" ht="14.85" x14ac:dyDescent="0.25">
      <c r="C115" s="3"/>
      <c r="F115" s="3"/>
      <c r="G115" s="3"/>
    </row>
    <row r="116" spans="3:7" ht="14.85" x14ac:dyDescent="0.25">
      <c r="C116" s="3"/>
      <c r="F116" s="3"/>
      <c r="G116" s="3"/>
    </row>
    <row r="117" spans="3:7" ht="14.85" x14ac:dyDescent="0.25">
      <c r="C117" s="3"/>
      <c r="F117" s="3"/>
      <c r="G117" s="3"/>
    </row>
    <row r="118" spans="3:7" ht="14.85" x14ac:dyDescent="0.25">
      <c r="C118" s="3"/>
      <c r="F118" s="3"/>
      <c r="G118" s="3"/>
    </row>
    <row r="119" spans="3:7" ht="14.85" x14ac:dyDescent="0.25">
      <c r="C119" s="3"/>
      <c r="F119" s="3"/>
      <c r="G119" s="3"/>
    </row>
    <row r="120" spans="3:7" ht="14.85" x14ac:dyDescent="0.25">
      <c r="C120" s="3"/>
      <c r="F120" s="3"/>
      <c r="G120" s="3"/>
    </row>
    <row r="121" spans="3:7" ht="14.85" x14ac:dyDescent="0.25">
      <c r="C121" s="3"/>
      <c r="F121" s="3"/>
      <c r="G121" s="3"/>
    </row>
    <row r="122" spans="3:7" ht="14.85" x14ac:dyDescent="0.25">
      <c r="C122" s="3"/>
      <c r="F122" s="3"/>
      <c r="G122" s="3"/>
    </row>
    <row r="123" spans="3:7" ht="14.85" x14ac:dyDescent="0.25">
      <c r="C123" s="3"/>
      <c r="F123" s="3"/>
      <c r="G123" s="3"/>
    </row>
    <row r="124" spans="3:7" ht="14.85" x14ac:dyDescent="0.25">
      <c r="C124" s="3"/>
      <c r="F124" s="3"/>
      <c r="G124" s="3"/>
    </row>
    <row r="125" spans="3:7" ht="14.85" x14ac:dyDescent="0.25">
      <c r="C125" s="3"/>
      <c r="F125" s="3"/>
      <c r="G125" s="3"/>
    </row>
    <row r="126" spans="3:7" ht="14.85" x14ac:dyDescent="0.25">
      <c r="C126" s="3"/>
      <c r="F126" s="3"/>
      <c r="G126" s="3"/>
    </row>
    <row r="127" spans="3:7" ht="14.85" x14ac:dyDescent="0.25">
      <c r="C127" s="3"/>
      <c r="F127" s="3"/>
      <c r="G127" s="3"/>
    </row>
    <row r="128" spans="3:7" ht="14.85" x14ac:dyDescent="0.25">
      <c r="C128" s="3"/>
      <c r="F128" s="3"/>
      <c r="G128" s="3"/>
    </row>
    <row r="129" spans="3:7" ht="14.85" x14ac:dyDescent="0.25">
      <c r="C129" s="3"/>
      <c r="F129" s="3"/>
      <c r="G129" s="3"/>
    </row>
    <row r="130" spans="3:7" ht="14.85" x14ac:dyDescent="0.25">
      <c r="C130" s="3"/>
      <c r="F130" s="3"/>
      <c r="G130" s="3"/>
    </row>
    <row r="131" spans="3:7" ht="14.85" x14ac:dyDescent="0.25">
      <c r="C131" s="3"/>
      <c r="F131" s="3"/>
      <c r="G131" s="3"/>
    </row>
    <row r="132" spans="3:7" ht="14.85" x14ac:dyDescent="0.25">
      <c r="C132" s="3"/>
      <c r="F132" s="3"/>
      <c r="G132" s="3"/>
    </row>
    <row r="133" spans="3:7" ht="14.85" x14ac:dyDescent="0.25">
      <c r="C133" s="3"/>
      <c r="F133" s="3"/>
      <c r="G133" s="3"/>
    </row>
    <row r="134" spans="3:7" ht="14.85" x14ac:dyDescent="0.25">
      <c r="C134" s="3"/>
      <c r="F134" s="3"/>
      <c r="G134" s="3"/>
    </row>
    <row r="135" spans="3:7" ht="14.85" x14ac:dyDescent="0.25">
      <c r="C135" s="3"/>
      <c r="F135" s="3"/>
      <c r="G135" s="3"/>
    </row>
    <row r="136" spans="3:7" ht="14.85" x14ac:dyDescent="0.25">
      <c r="C136" s="3"/>
      <c r="F136" s="3"/>
      <c r="G136" s="3"/>
    </row>
    <row r="137" spans="3:7" ht="14.85" x14ac:dyDescent="0.25">
      <c r="C137" s="3"/>
      <c r="F137" s="3"/>
      <c r="G137" s="3"/>
    </row>
    <row r="138" spans="3:7" ht="14.85" x14ac:dyDescent="0.25">
      <c r="C138" s="3"/>
      <c r="F138" s="3"/>
      <c r="G138" s="3"/>
    </row>
    <row r="139" spans="3:7" ht="14.85" x14ac:dyDescent="0.25">
      <c r="C139" s="3"/>
      <c r="F139" s="3"/>
      <c r="G139" s="3"/>
    </row>
    <row r="140" spans="3:7" ht="14.85" x14ac:dyDescent="0.25">
      <c r="C140" s="3"/>
      <c r="F140" s="3"/>
      <c r="G140" s="3"/>
    </row>
    <row r="141" spans="3:7" ht="14.85" x14ac:dyDescent="0.25">
      <c r="C141" s="3"/>
      <c r="F141" s="3"/>
      <c r="G141" s="3"/>
    </row>
    <row r="142" spans="3:7" ht="14.85" x14ac:dyDescent="0.25">
      <c r="C142" s="3"/>
      <c r="F142" s="3"/>
      <c r="G142" s="3"/>
    </row>
    <row r="143" spans="3:7" ht="14.85" x14ac:dyDescent="0.25">
      <c r="C143" s="3"/>
      <c r="F143" s="3"/>
      <c r="G143" s="3"/>
    </row>
    <row r="144" spans="3:7" ht="14.85" x14ac:dyDescent="0.25">
      <c r="C144" s="3"/>
      <c r="F144" s="3"/>
      <c r="G144" s="3"/>
    </row>
    <row r="145" spans="3:7" ht="14.85" x14ac:dyDescent="0.25">
      <c r="C145" s="3"/>
      <c r="F145" s="3"/>
      <c r="G145" s="3"/>
    </row>
    <row r="146" spans="3:7" ht="14.85" x14ac:dyDescent="0.25">
      <c r="C146" s="3"/>
      <c r="F146" s="3"/>
      <c r="G146" s="3"/>
    </row>
    <row r="147" spans="3:7" ht="14.85" x14ac:dyDescent="0.25">
      <c r="C147" s="3"/>
      <c r="F147" s="3"/>
      <c r="G147" s="3"/>
    </row>
    <row r="148" spans="3:7" ht="14.85" x14ac:dyDescent="0.25">
      <c r="C148" s="3"/>
      <c r="F148" s="3"/>
      <c r="G148" s="3"/>
    </row>
    <row r="149" spans="3:7" ht="14.85" x14ac:dyDescent="0.25">
      <c r="C149" s="3"/>
      <c r="F149" s="3"/>
      <c r="G149" s="3"/>
    </row>
    <row r="150" spans="3:7" ht="14.85" x14ac:dyDescent="0.25">
      <c r="C150" s="3"/>
      <c r="F150" s="3"/>
      <c r="G150" s="3"/>
    </row>
    <row r="151" spans="3:7" ht="14.85" x14ac:dyDescent="0.25">
      <c r="C151" s="3"/>
      <c r="F151" s="3"/>
      <c r="G151" s="3"/>
    </row>
    <row r="152" spans="3:7" ht="14.85" x14ac:dyDescent="0.25">
      <c r="C152" s="3"/>
      <c r="F152" s="3"/>
      <c r="G152" s="3"/>
    </row>
    <row r="153" spans="3:7" ht="14.85" x14ac:dyDescent="0.25">
      <c r="C153" s="3"/>
      <c r="F153" s="3"/>
      <c r="G153" s="3"/>
    </row>
    <row r="154" spans="3:7" ht="14.85" x14ac:dyDescent="0.25">
      <c r="C154" s="3"/>
      <c r="F154" s="3"/>
      <c r="G154" s="3"/>
    </row>
    <row r="155" spans="3:7" ht="14.85" x14ac:dyDescent="0.25">
      <c r="C155" s="3"/>
      <c r="F155" s="3"/>
      <c r="G155" s="3"/>
    </row>
    <row r="156" spans="3:7" ht="14.85" x14ac:dyDescent="0.25">
      <c r="C156" s="3"/>
      <c r="F156" s="3"/>
      <c r="G156" s="3"/>
    </row>
    <row r="157" spans="3:7" ht="14.85" x14ac:dyDescent="0.25">
      <c r="C157" s="3"/>
      <c r="F157" s="3"/>
      <c r="G157" s="3"/>
    </row>
    <row r="158" spans="3:7" ht="14.85" x14ac:dyDescent="0.25">
      <c r="C158" s="3"/>
      <c r="F158" s="3"/>
      <c r="G158" s="3"/>
    </row>
    <row r="159" spans="3:7" ht="14.85" x14ac:dyDescent="0.25">
      <c r="C159" s="3"/>
      <c r="F159" s="3"/>
      <c r="G159" s="3"/>
    </row>
    <row r="160" spans="3:7" ht="14.85" x14ac:dyDescent="0.25">
      <c r="C160" s="3"/>
      <c r="F160" s="3"/>
      <c r="G160" s="3"/>
    </row>
    <row r="161" spans="3:7" ht="14.85" x14ac:dyDescent="0.25">
      <c r="C161" s="3"/>
      <c r="F161" s="3"/>
      <c r="G161" s="3"/>
    </row>
    <row r="162" spans="3:7" ht="14.85" x14ac:dyDescent="0.25">
      <c r="C162" s="3"/>
      <c r="F162" s="3"/>
      <c r="G162" s="3"/>
    </row>
    <row r="163" spans="3:7" ht="14.85" x14ac:dyDescent="0.25">
      <c r="C163" s="3"/>
      <c r="F163" s="3"/>
      <c r="G163" s="3"/>
    </row>
    <row r="164" spans="3:7" ht="14.85" x14ac:dyDescent="0.25">
      <c r="C164" s="3"/>
      <c r="F164" s="3"/>
      <c r="G164" s="3"/>
    </row>
    <row r="165" spans="3:7" ht="14.85" x14ac:dyDescent="0.25">
      <c r="C165" s="3"/>
      <c r="F165" s="3"/>
      <c r="G165" s="3"/>
    </row>
    <row r="166" spans="3:7" ht="14.85" x14ac:dyDescent="0.25">
      <c r="C166" s="3"/>
      <c r="F166" s="3"/>
      <c r="G166" s="3"/>
    </row>
    <row r="167" spans="3:7" ht="14.85" x14ac:dyDescent="0.25">
      <c r="C167" s="3"/>
      <c r="F167" s="3"/>
      <c r="G167" s="3"/>
    </row>
    <row r="168" spans="3:7" ht="14.85" x14ac:dyDescent="0.25">
      <c r="C168" s="3"/>
      <c r="F168" s="3"/>
      <c r="G168" s="3"/>
    </row>
    <row r="169" spans="3:7" ht="14.85" x14ac:dyDescent="0.25">
      <c r="C169" s="3"/>
      <c r="F169" s="3"/>
      <c r="G169" s="3"/>
    </row>
    <row r="170" spans="3:7" ht="14.85" x14ac:dyDescent="0.25">
      <c r="C170" s="3"/>
      <c r="F170" s="3"/>
      <c r="G170" s="3"/>
    </row>
    <row r="171" spans="3:7" ht="14.85" x14ac:dyDescent="0.25">
      <c r="C171" s="3"/>
      <c r="F171" s="3"/>
      <c r="G171" s="3"/>
    </row>
    <row r="172" spans="3:7" ht="14.85" x14ac:dyDescent="0.25">
      <c r="C172" s="3"/>
      <c r="F172" s="3"/>
      <c r="G172" s="3"/>
    </row>
    <row r="173" spans="3:7" ht="14.85" x14ac:dyDescent="0.25">
      <c r="C173" s="3"/>
      <c r="F173" s="3"/>
      <c r="G173" s="3"/>
    </row>
    <row r="174" spans="3:7" ht="14.85" x14ac:dyDescent="0.25">
      <c r="C174" s="3"/>
      <c r="F174" s="3"/>
      <c r="G174" s="3"/>
    </row>
    <row r="175" spans="3:7" ht="14.85" x14ac:dyDescent="0.25">
      <c r="C175" s="3"/>
      <c r="F175" s="3"/>
      <c r="G175" s="3"/>
    </row>
    <row r="176" spans="3:7" ht="14.85" x14ac:dyDescent="0.25">
      <c r="C176" s="3"/>
      <c r="F176" s="3"/>
      <c r="G176" s="3"/>
    </row>
    <row r="177" spans="3:7" ht="14.85" x14ac:dyDescent="0.25">
      <c r="C177" s="3"/>
      <c r="F177" s="3"/>
      <c r="G177" s="3"/>
    </row>
    <row r="178" spans="3:7" ht="14.85" x14ac:dyDescent="0.25">
      <c r="C178" s="3"/>
      <c r="F178" s="3"/>
      <c r="G178" s="3"/>
    </row>
    <row r="179" spans="3:7" ht="14.85" x14ac:dyDescent="0.25">
      <c r="C179" s="3"/>
      <c r="F179" s="3"/>
      <c r="G179" s="3"/>
    </row>
    <row r="180" spans="3:7" ht="14.85" x14ac:dyDescent="0.25">
      <c r="C180" s="3"/>
      <c r="F180" s="3"/>
      <c r="G180" s="3"/>
    </row>
    <row r="181" spans="3:7" ht="14.85" x14ac:dyDescent="0.25">
      <c r="C181" s="3"/>
      <c r="F181" s="3"/>
      <c r="G181" s="3"/>
    </row>
    <row r="182" spans="3:7" ht="14.85" x14ac:dyDescent="0.25">
      <c r="C182" s="3"/>
      <c r="F182" s="3"/>
      <c r="G182" s="3"/>
    </row>
    <row r="183" spans="3:7" ht="14.85" x14ac:dyDescent="0.25">
      <c r="C183" s="3"/>
      <c r="F183" s="3"/>
      <c r="G183" s="3"/>
    </row>
    <row r="184" spans="3:7" ht="14.85" x14ac:dyDescent="0.25">
      <c r="C184" s="3"/>
      <c r="F184" s="3"/>
      <c r="G184" s="3"/>
    </row>
    <row r="185" spans="3:7" ht="14.85" x14ac:dyDescent="0.25">
      <c r="C185" s="3"/>
      <c r="F185" s="3"/>
      <c r="G185" s="3"/>
    </row>
    <row r="186" spans="3:7" ht="14.85" x14ac:dyDescent="0.25">
      <c r="C186" s="3"/>
      <c r="F186" s="3"/>
      <c r="G186" s="3"/>
    </row>
    <row r="187" spans="3:7" ht="14.85" x14ac:dyDescent="0.25">
      <c r="C187" s="3"/>
      <c r="F187" s="3"/>
      <c r="G187" s="3"/>
    </row>
    <row r="188" spans="3:7" ht="14.85" x14ac:dyDescent="0.25">
      <c r="C188" s="3"/>
      <c r="F188" s="3"/>
      <c r="G188" s="3"/>
    </row>
    <row r="189" spans="3:7" ht="14.85" x14ac:dyDescent="0.25">
      <c r="C189" s="3"/>
      <c r="F189" s="3"/>
      <c r="G189" s="3"/>
    </row>
    <row r="190" spans="3:7" ht="14.85" x14ac:dyDescent="0.25">
      <c r="C190" s="3"/>
      <c r="F190" s="3"/>
      <c r="G190" s="3"/>
    </row>
    <row r="191" spans="3:7" ht="14.85" x14ac:dyDescent="0.25">
      <c r="C191" s="3"/>
      <c r="F191" s="3"/>
      <c r="G191" s="3"/>
    </row>
    <row r="192" spans="3:7" ht="14.85" x14ac:dyDescent="0.25">
      <c r="C192" s="3"/>
      <c r="F192" s="3"/>
      <c r="G192" s="3"/>
    </row>
    <row r="193" spans="3:7" ht="14.85" x14ac:dyDescent="0.25">
      <c r="C193" s="3"/>
      <c r="F193" s="3"/>
      <c r="G193" s="3"/>
    </row>
    <row r="194" spans="3:7" ht="14.85" x14ac:dyDescent="0.25">
      <c r="C194" s="3"/>
      <c r="F194" s="3"/>
      <c r="G194" s="3"/>
    </row>
    <row r="195" spans="3:7" ht="14.85" x14ac:dyDescent="0.25">
      <c r="C195" s="3"/>
      <c r="F195" s="3"/>
      <c r="G195" s="3"/>
    </row>
    <row r="196" spans="3:7" ht="14.85" x14ac:dyDescent="0.25">
      <c r="C196" s="3"/>
      <c r="F196" s="3"/>
      <c r="G196" s="3"/>
    </row>
    <row r="197" spans="3:7" ht="14.85" x14ac:dyDescent="0.25">
      <c r="C197" s="3"/>
      <c r="F197" s="3"/>
      <c r="G197" s="3"/>
    </row>
    <row r="198" spans="3:7" ht="14.85" x14ac:dyDescent="0.25">
      <c r="C198" s="3"/>
      <c r="F198" s="3"/>
      <c r="G198" s="3"/>
    </row>
    <row r="199" spans="3:7" ht="14.85" x14ac:dyDescent="0.25">
      <c r="C199" s="3"/>
      <c r="F199" s="3"/>
      <c r="G199" s="3"/>
    </row>
    <row r="200" spans="3:7" ht="14.85" x14ac:dyDescent="0.25">
      <c r="C200" s="3"/>
      <c r="F200" s="3"/>
      <c r="G200" s="3"/>
    </row>
    <row r="201" spans="3:7" ht="14.85" x14ac:dyDescent="0.25">
      <c r="C201" s="3"/>
      <c r="F201" s="3"/>
      <c r="G201" s="3"/>
    </row>
    <row r="202" spans="3:7" ht="14.85" x14ac:dyDescent="0.25">
      <c r="C202" s="3"/>
      <c r="F202" s="3"/>
      <c r="G202" s="3"/>
    </row>
    <row r="203" spans="3:7" ht="14.85" x14ac:dyDescent="0.25">
      <c r="C203" s="3"/>
      <c r="F203" s="3"/>
      <c r="G203" s="3"/>
    </row>
    <row r="204" spans="3:7" ht="14.85" x14ac:dyDescent="0.25">
      <c r="C204" s="3"/>
      <c r="F204" s="3"/>
      <c r="G204" s="3"/>
    </row>
    <row r="205" spans="3:7" ht="14.85" x14ac:dyDescent="0.25">
      <c r="C205" s="3"/>
      <c r="F205" s="3"/>
      <c r="G205" s="3"/>
    </row>
    <row r="206" spans="3:7" ht="14.85" x14ac:dyDescent="0.25">
      <c r="C206" s="3"/>
      <c r="F206" s="3"/>
      <c r="G206" s="3"/>
    </row>
    <row r="207" spans="3:7" ht="14.85" x14ac:dyDescent="0.25">
      <c r="C207" s="3"/>
      <c r="F207" s="3"/>
      <c r="G207" s="3"/>
    </row>
    <row r="208" spans="3:7" ht="14.85" x14ac:dyDescent="0.25">
      <c r="C208" s="3"/>
      <c r="F208" s="3"/>
      <c r="G208" s="3"/>
    </row>
    <row r="209" spans="3:7" ht="14.85" x14ac:dyDescent="0.25">
      <c r="C209" s="3"/>
      <c r="F209" s="3"/>
      <c r="G209" s="3"/>
    </row>
    <row r="210" spans="3:7" ht="14.85" x14ac:dyDescent="0.25">
      <c r="C210" s="3"/>
      <c r="F210" s="3"/>
      <c r="G210" s="3"/>
    </row>
    <row r="211" spans="3:7" ht="14.85" x14ac:dyDescent="0.25">
      <c r="C211" s="3"/>
      <c r="F211" s="3"/>
      <c r="G211" s="3"/>
    </row>
    <row r="212" spans="3:7" ht="14.85" x14ac:dyDescent="0.25">
      <c r="C212" s="3"/>
      <c r="F212" s="3"/>
      <c r="G212" s="3"/>
    </row>
    <row r="213" spans="3:7" ht="14.85" x14ac:dyDescent="0.25">
      <c r="C213" s="3"/>
      <c r="F213" s="3"/>
      <c r="G213" s="3"/>
    </row>
    <row r="214" spans="3:7" ht="14.85" x14ac:dyDescent="0.25">
      <c r="C214" s="3"/>
      <c r="F214" s="3"/>
      <c r="G214" s="3"/>
    </row>
    <row r="215" spans="3:7" ht="14.85" x14ac:dyDescent="0.25">
      <c r="C215" s="3"/>
      <c r="F215" s="3"/>
      <c r="G215" s="3"/>
    </row>
    <row r="216" spans="3:7" ht="14.85" x14ac:dyDescent="0.25">
      <c r="C216" s="3"/>
      <c r="F216" s="3"/>
      <c r="G216" s="3"/>
    </row>
    <row r="217" spans="3:7" ht="14.85" x14ac:dyDescent="0.25">
      <c r="C217" s="3"/>
      <c r="F217" s="3"/>
      <c r="G217" s="3"/>
    </row>
    <row r="218" spans="3:7" ht="14.85" x14ac:dyDescent="0.25">
      <c r="C218" s="3"/>
      <c r="F218" s="3"/>
      <c r="G218" s="3"/>
    </row>
    <row r="219" spans="3:7" ht="14.85" x14ac:dyDescent="0.25">
      <c r="C219" s="3"/>
      <c r="F219" s="3"/>
      <c r="G219" s="3"/>
    </row>
    <row r="220" spans="3:7" ht="14.85" x14ac:dyDescent="0.25">
      <c r="C220" s="3"/>
      <c r="F220" s="3"/>
      <c r="G220" s="3"/>
    </row>
    <row r="221" spans="3:7" ht="14.85" x14ac:dyDescent="0.25">
      <c r="C221" s="3"/>
      <c r="F221" s="3"/>
      <c r="G221" s="3"/>
    </row>
    <row r="222" spans="3:7" ht="14.85" x14ac:dyDescent="0.25">
      <c r="C222" s="3"/>
      <c r="F222" s="3"/>
      <c r="G222" s="3"/>
    </row>
    <row r="223" spans="3:7" ht="14.85" x14ac:dyDescent="0.25">
      <c r="C223" s="3"/>
      <c r="F223" s="3"/>
      <c r="G223" s="3"/>
    </row>
    <row r="224" spans="3:7" ht="14.85" x14ac:dyDescent="0.25">
      <c r="C224" s="3"/>
      <c r="F224" s="3"/>
      <c r="G224" s="3"/>
    </row>
    <row r="225" spans="3:7" ht="14.85" x14ac:dyDescent="0.25">
      <c r="C225" s="3"/>
      <c r="F225" s="3"/>
      <c r="G225" s="3"/>
    </row>
    <row r="226" spans="3:7" ht="14.85" x14ac:dyDescent="0.25">
      <c r="C226" s="3"/>
      <c r="F226" s="3"/>
      <c r="G226" s="3"/>
    </row>
    <row r="227" spans="3:7" ht="14.85" x14ac:dyDescent="0.25">
      <c r="C227" s="3"/>
      <c r="F227" s="3"/>
      <c r="G227" s="3"/>
    </row>
    <row r="228" spans="3:7" ht="14.85" x14ac:dyDescent="0.25">
      <c r="C228" s="3"/>
      <c r="F228" s="3"/>
      <c r="G228" s="3"/>
    </row>
    <row r="229" spans="3:7" ht="14.85" x14ac:dyDescent="0.25">
      <c r="C229" s="3"/>
      <c r="F229" s="3"/>
      <c r="G229" s="3"/>
    </row>
    <row r="230" spans="3:7" ht="14.85" x14ac:dyDescent="0.25">
      <c r="C230" s="3"/>
      <c r="F230" s="3"/>
      <c r="G230" s="3"/>
    </row>
    <row r="231" spans="3:7" ht="14.85" x14ac:dyDescent="0.25">
      <c r="C231" s="3"/>
      <c r="F231" s="3"/>
      <c r="G231" s="3"/>
    </row>
    <row r="232" spans="3:7" ht="14.85" x14ac:dyDescent="0.25">
      <c r="C232" s="3"/>
      <c r="F232" s="3"/>
      <c r="G232" s="3"/>
    </row>
    <row r="233" spans="3:7" ht="14.85" x14ac:dyDescent="0.25">
      <c r="C233" s="3"/>
      <c r="F233" s="3"/>
      <c r="G233" s="3"/>
    </row>
    <row r="234" spans="3:7" ht="14.85" x14ac:dyDescent="0.25">
      <c r="C234" s="3"/>
      <c r="F234" s="3"/>
      <c r="G234" s="3"/>
    </row>
    <row r="235" spans="3:7" ht="14.85" x14ac:dyDescent="0.25">
      <c r="C235" s="3"/>
      <c r="F235" s="3"/>
      <c r="G235" s="3"/>
    </row>
    <row r="236" spans="3:7" ht="14.85" x14ac:dyDescent="0.25">
      <c r="C236" s="3"/>
      <c r="F236" s="3"/>
      <c r="G236" s="3"/>
    </row>
    <row r="237" spans="3:7" ht="14.85" x14ac:dyDescent="0.25">
      <c r="C237" s="3"/>
      <c r="F237" s="3"/>
      <c r="G237" s="3"/>
    </row>
    <row r="238" spans="3:7" ht="14.85" x14ac:dyDescent="0.25">
      <c r="C238" s="3"/>
      <c r="F238" s="3"/>
      <c r="G238" s="3"/>
    </row>
    <row r="239" spans="3:7" ht="14.85" x14ac:dyDescent="0.25">
      <c r="C239" s="3"/>
      <c r="F239" s="3"/>
      <c r="G239" s="3"/>
    </row>
    <row r="240" spans="3:7" ht="14.85" x14ac:dyDescent="0.25">
      <c r="C240" s="3"/>
      <c r="F240" s="3"/>
      <c r="G240" s="3"/>
    </row>
    <row r="241" spans="3:7" ht="14.85" x14ac:dyDescent="0.25">
      <c r="C241" s="3"/>
      <c r="F241" s="3"/>
      <c r="G241" s="3"/>
    </row>
    <row r="242" spans="3:7" ht="14.85" x14ac:dyDescent="0.25">
      <c r="C242" s="3"/>
      <c r="F242" s="3"/>
      <c r="G242" s="3"/>
    </row>
    <row r="243" spans="3:7" ht="14.85" x14ac:dyDescent="0.25">
      <c r="C243" s="3"/>
      <c r="F243" s="3"/>
      <c r="G243" s="3"/>
    </row>
    <row r="244" spans="3:7" ht="14.85" x14ac:dyDescent="0.25">
      <c r="C244" s="3"/>
      <c r="F244" s="3"/>
      <c r="G244" s="3"/>
    </row>
    <row r="245" spans="3:7" ht="14.85" x14ac:dyDescent="0.25">
      <c r="C245" s="3"/>
      <c r="F245" s="3"/>
      <c r="G245" s="3"/>
    </row>
    <row r="246" spans="3:7" ht="14.85" x14ac:dyDescent="0.25">
      <c r="C246" s="3"/>
      <c r="F246" s="3"/>
      <c r="G246" s="3"/>
    </row>
    <row r="247" spans="3:7" ht="14.85" x14ac:dyDescent="0.25">
      <c r="C247" s="3"/>
      <c r="F247" s="3"/>
      <c r="G247" s="3"/>
    </row>
    <row r="248" spans="3:7" ht="14.85" x14ac:dyDescent="0.25">
      <c r="C248" s="3"/>
      <c r="F248" s="3"/>
      <c r="G248" s="3"/>
    </row>
    <row r="249" spans="3:7" ht="14.85" x14ac:dyDescent="0.25">
      <c r="C249" s="3"/>
      <c r="F249" s="3"/>
      <c r="G249" s="3"/>
    </row>
    <row r="250" spans="3:7" ht="14.85" x14ac:dyDescent="0.25">
      <c r="C250" s="3"/>
      <c r="F250" s="3"/>
      <c r="G250" s="3"/>
    </row>
    <row r="251" spans="3:7" ht="14.85" x14ac:dyDescent="0.25">
      <c r="C251" s="3"/>
      <c r="F251" s="3"/>
      <c r="G251" s="3"/>
    </row>
    <row r="252" spans="3:7" ht="14.85" x14ac:dyDescent="0.25">
      <c r="C252" s="3"/>
      <c r="F252" s="3"/>
      <c r="G252" s="3"/>
    </row>
    <row r="253" spans="3:7" ht="14.85" x14ac:dyDescent="0.25">
      <c r="C253" s="3"/>
      <c r="F253" s="3"/>
      <c r="G253" s="3"/>
    </row>
    <row r="254" spans="3:7" ht="14.85" x14ac:dyDescent="0.25">
      <c r="C254" s="3"/>
      <c r="F254" s="3"/>
      <c r="G254" s="3"/>
    </row>
    <row r="255" spans="3:7" ht="14.85" x14ac:dyDescent="0.25">
      <c r="C255" s="3"/>
      <c r="F255" s="3"/>
      <c r="G255" s="3"/>
    </row>
    <row r="256" spans="3:7" ht="14.85" x14ac:dyDescent="0.25">
      <c r="C256" s="3"/>
      <c r="F256" s="3"/>
      <c r="G256" s="3"/>
    </row>
    <row r="257" spans="3:7" ht="14.85" x14ac:dyDescent="0.25">
      <c r="C257" s="3"/>
      <c r="F257" s="3"/>
      <c r="G257" s="3"/>
    </row>
    <row r="258" spans="3:7" ht="14.85" x14ac:dyDescent="0.25">
      <c r="C258" s="3"/>
      <c r="F258" s="3"/>
      <c r="G258" s="3"/>
    </row>
    <row r="259" spans="3:7" ht="14.85" x14ac:dyDescent="0.25">
      <c r="C259" s="3"/>
      <c r="F259" s="3"/>
      <c r="G259" s="3"/>
    </row>
    <row r="260" spans="3:7" ht="14.85" x14ac:dyDescent="0.25">
      <c r="C260" s="3"/>
      <c r="F260" s="3"/>
      <c r="G260" s="3"/>
    </row>
    <row r="261" spans="3:7" ht="14.85" x14ac:dyDescent="0.25">
      <c r="C261" s="3"/>
      <c r="F261" s="3"/>
      <c r="G261" s="3"/>
    </row>
    <row r="262" spans="3:7" ht="14.85" x14ac:dyDescent="0.25">
      <c r="C262" s="3"/>
      <c r="F262" s="3"/>
      <c r="G262" s="3"/>
    </row>
    <row r="263" spans="3:7" ht="14.85" x14ac:dyDescent="0.25">
      <c r="C263" s="3"/>
      <c r="F263" s="3"/>
      <c r="G263" s="3"/>
    </row>
    <row r="264" spans="3:7" ht="14.85" x14ac:dyDescent="0.25">
      <c r="C264" s="3"/>
      <c r="F264" s="3"/>
      <c r="G264" s="3"/>
    </row>
    <row r="265" spans="3:7" ht="14.85" x14ac:dyDescent="0.25">
      <c r="C265" s="3"/>
      <c r="F265" s="3"/>
      <c r="G265" s="3"/>
    </row>
    <row r="266" spans="3:7" ht="14.85" x14ac:dyDescent="0.25">
      <c r="C266" s="3"/>
      <c r="F266" s="3"/>
      <c r="G266" s="3"/>
    </row>
    <row r="267" spans="3:7" ht="14.85" x14ac:dyDescent="0.25">
      <c r="C267" s="3"/>
      <c r="F267" s="3"/>
      <c r="G267" s="3"/>
    </row>
    <row r="268" spans="3:7" ht="14.85" x14ac:dyDescent="0.25">
      <c r="C268" s="3"/>
      <c r="F268" s="3"/>
      <c r="G268" s="3"/>
    </row>
    <row r="269" spans="3:7" ht="14.85" x14ac:dyDescent="0.25">
      <c r="C269" s="3"/>
      <c r="F269" s="3"/>
      <c r="G269" s="3"/>
    </row>
    <row r="270" spans="3:7" ht="14.85" x14ac:dyDescent="0.25">
      <c r="C270" s="3"/>
      <c r="F270" s="3"/>
      <c r="G270" s="3"/>
    </row>
    <row r="271" spans="3:7" ht="14.85" x14ac:dyDescent="0.25">
      <c r="C271" s="3"/>
      <c r="F271" s="3"/>
      <c r="G271" s="3"/>
    </row>
    <row r="272" spans="3:7" ht="14.85" x14ac:dyDescent="0.25">
      <c r="C272" s="3"/>
      <c r="F272" s="3"/>
      <c r="G272" s="3"/>
    </row>
    <row r="273" spans="3:7" ht="14.85" x14ac:dyDescent="0.25">
      <c r="C273" s="3"/>
      <c r="F273" s="3"/>
      <c r="G273" s="3"/>
    </row>
    <row r="274" spans="3:7" ht="14.85" x14ac:dyDescent="0.25">
      <c r="C274" s="3"/>
      <c r="F274" s="3"/>
      <c r="G274" s="3"/>
    </row>
    <row r="275" spans="3:7" ht="14.85" x14ac:dyDescent="0.25">
      <c r="C275" s="3"/>
      <c r="F275" s="3"/>
      <c r="G275" s="3"/>
    </row>
    <row r="276" spans="3:7" ht="14.85" x14ac:dyDescent="0.25">
      <c r="C276" s="3"/>
      <c r="F276" s="3"/>
      <c r="G276" s="3"/>
    </row>
    <row r="277" spans="3:7" ht="14.85" x14ac:dyDescent="0.25">
      <c r="C277" s="3"/>
      <c r="F277" s="3"/>
      <c r="G277" s="3"/>
    </row>
    <row r="278" spans="3:7" ht="14.85" x14ac:dyDescent="0.25">
      <c r="C278" s="3"/>
      <c r="F278" s="3"/>
      <c r="G278" s="3"/>
    </row>
    <row r="279" spans="3:7" ht="14.85" x14ac:dyDescent="0.25">
      <c r="C279" s="3"/>
      <c r="F279" s="3"/>
      <c r="G279" s="3"/>
    </row>
    <row r="280" spans="3:7" ht="14.85" x14ac:dyDescent="0.25">
      <c r="C280" s="3"/>
      <c r="F280" s="3"/>
      <c r="G280" s="3"/>
    </row>
    <row r="281" spans="3:7" ht="14.85" x14ac:dyDescent="0.25">
      <c r="C281" s="3"/>
      <c r="F281" s="3"/>
      <c r="G281" s="3"/>
    </row>
    <row r="282" spans="3:7" ht="14.85" x14ac:dyDescent="0.25">
      <c r="C282" s="3"/>
      <c r="F282" s="3"/>
      <c r="G282" s="3"/>
    </row>
    <row r="283" spans="3:7" ht="14.85" x14ac:dyDescent="0.25">
      <c r="C283" s="3"/>
      <c r="F283" s="3"/>
      <c r="G283" s="3"/>
    </row>
    <row r="284" spans="3:7" ht="14.85" x14ac:dyDescent="0.25">
      <c r="C284" s="3"/>
      <c r="F284" s="3"/>
      <c r="G284" s="3"/>
    </row>
    <row r="285" spans="3:7" ht="14.85" x14ac:dyDescent="0.25">
      <c r="C285" s="3"/>
      <c r="F285" s="3"/>
      <c r="G285" s="3"/>
    </row>
    <row r="286" spans="3:7" ht="14.85" x14ac:dyDescent="0.25">
      <c r="C286" s="3"/>
      <c r="F286" s="3"/>
      <c r="G286" s="3"/>
    </row>
    <row r="287" spans="3:7" ht="14.85" x14ac:dyDescent="0.25">
      <c r="C287" s="3"/>
      <c r="F287" s="3"/>
      <c r="G287" s="3"/>
    </row>
    <row r="288" spans="3:7" ht="14.85" x14ac:dyDescent="0.25">
      <c r="C288" s="3"/>
      <c r="F288" s="3"/>
      <c r="G288" s="3"/>
    </row>
    <row r="289" spans="3:7" ht="14.85" x14ac:dyDescent="0.25">
      <c r="C289" s="3"/>
      <c r="F289" s="3"/>
      <c r="G289" s="3"/>
    </row>
    <row r="290" spans="3:7" ht="14.85" x14ac:dyDescent="0.25">
      <c r="C290" s="3"/>
      <c r="F290" s="3"/>
      <c r="G290" s="3"/>
    </row>
    <row r="291" spans="3:7" ht="14.85" x14ac:dyDescent="0.25">
      <c r="C291" s="3"/>
      <c r="F291" s="3"/>
      <c r="G291" s="3"/>
    </row>
    <row r="292" spans="3:7" ht="14.85" x14ac:dyDescent="0.25">
      <c r="C292" s="3"/>
      <c r="F292" s="3"/>
      <c r="G292" s="3"/>
    </row>
    <row r="293" spans="3:7" ht="14.85" x14ac:dyDescent="0.25">
      <c r="C293" s="3"/>
      <c r="F293" s="3"/>
      <c r="G293" s="3"/>
    </row>
    <row r="294" spans="3:7" ht="14.85" x14ac:dyDescent="0.25">
      <c r="C294" s="3"/>
      <c r="F294" s="3"/>
      <c r="G294" s="3"/>
    </row>
    <row r="295" spans="3:7" ht="14.85" x14ac:dyDescent="0.25">
      <c r="C295" s="3"/>
      <c r="F295" s="3"/>
      <c r="G295" s="3"/>
    </row>
    <row r="296" spans="3:7" ht="14.85" x14ac:dyDescent="0.25">
      <c r="C296" s="3"/>
      <c r="F296" s="3"/>
      <c r="G296" s="3"/>
    </row>
    <row r="297" spans="3:7" ht="14.85" x14ac:dyDescent="0.25">
      <c r="C297" s="3"/>
      <c r="F297" s="3"/>
      <c r="G297" s="3"/>
    </row>
    <row r="298" spans="3:7" ht="14.85" x14ac:dyDescent="0.25">
      <c r="C298" s="3"/>
      <c r="F298" s="3"/>
      <c r="G298" s="3"/>
    </row>
    <row r="299" spans="3:7" ht="14.85" x14ac:dyDescent="0.25">
      <c r="C299" s="3"/>
      <c r="F299" s="3"/>
      <c r="G299" s="3"/>
    </row>
    <row r="300" spans="3:7" ht="14.85" x14ac:dyDescent="0.25">
      <c r="C300" s="3"/>
      <c r="F300" s="3"/>
      <c r="G300" s="3"/>
    </row>
    <row r="301" spans="3:7" ht="14.85" x14ac:dyDescent="0.25">
      <c r="C301" s="3"/>
      <c r="F301" s="3"/>
      <c r="G301" s="3"/>
    </row>
    <row r="302" spans="3:7" ht="14.85" x14ac:dyDescent="0.25">
      <c r="C302" s="3"/>
      <c r="F302" s="3"/>
      <c r="G302" s="3"/>
    </row>
    <row r="303" spans="3:7" ht="14.85" x14ac:dyDescent="0.25">
      <c r="C303" s="3"/>
      <c r="F303" s="3"/>
      <c r="G303" s="3"/>
    </row>
    <row r="304" spans="3:7" ht="14.85" x14ac:dyDescent="0.25">
      <c r="C304" s="3"/>
      <c r="F304" s="3"/>
      <c r="G304" s="3"/>
    </row>
    <row r="305" spans="3:7" ht="14.85" x14ac:dyDescent="0.25">
      <c r="C305" s="3"/>
      <c r="F305" s="3"/>
      <c r="G305" s="3"/>
    </row>
    <row r="306" spans="3:7" ht="14.85" x14ac:dyDescent="0.25">
      <c r="C306" s="3"/>
      <c r="F306" s="3"/>
      <c r="G306" s="3"/>
    </row>
    <row r="307" spans="3:7" ht="14.85" x14ac:dyDescent="0.25">
      <c r="C307" s="3"/>
      <c r="F307" s="3"/>
      <c r="G307" s="3"/>
    </row>
    <row r="308" spans="3:7" ht="14.85" x14ac:dyDescent="0.25">
      <c r="C308" s="3"/>
      <c r="F308" s="3"/>
      <c r="G308" s="3"/>
    </row>
    <row r="309" spans="3:7" ht="14.85" x14ac:dyDescent="0.25">
      <c r="C309" s="3"/>
      <c r="F309" s="3"/>
      <c r="G309" s="3"/>
    </row>
    <row r="310" spans="3:7" ht="14.85" x14ac:dyDescent="0.25">
      <c r="C310" s="3"/>
      <c r="F310" s="3"/>
      <c r="G310" s="3"/>
    </row>
    <row r="311" spans="3:7" ht="14.85" x14ac:dyDescent="0.25">
      <c r="C311" s="3"/>
      <c r="F311" s="3"/>
      <c r="G311" s="3"/>
    </row>
    <row r="312" spans="3:7" ht="14.85" x14ac:dyDescent="0.25">
      <c r="C312" s="3"/>
      <c r="F312" s="3"/>
      <c r="G312" s="3"/>
    </row>
    <row r="313" spans="3:7" ht="14.85" x14ac:dyDescent="0.25">
      <c r="C313" s="3"/>
      <c r="F313" s="3"/>
      <c r="G313" s="3"/>
    </row>
    <row r="314" spans="3:7" ht="14.85" x14ac:dyDescent="0.25">
      <c r="C314" s="3"/>
      <c r="F314" s="3"/>
      <c r="G314" s="3"/>
    </row>
    <row r="315" spans="3:7" ht="14.85" x14ac:dyDescent="0.25">
      <c r="C315" s="3"/>
      <c r="F315" s="3"/>
      <c r="G315" s="3"/>
    </row>
    <row r="316" spans="3:7" ht="14.85" x14ac:dyDescent="0.25">
      <c r="C316" s="3"/>
      <c r="F316" s="3"/>
      <c r="G316" s="3"/>
    </row>
    <row r="317" spans="3:7" ht="14.85" x14ac:dyDescent="0.25">
      <c r="C317" s="3"/>
      <c r="F317" s="3"/>
      <c r="G317" s="3"/>
    </row>
    <row r="318" spans="3:7" ht="14.85" x14ac:dyDescent="0.25">
      <c r="C318" s="3"/>
      <c r="F318" s="3"/>
      <c r="G318" s="3"/>
    </row>
    <row r="319" spans="3:7" ht="14.85" x14ac:dyDescent="0.25">
      <c r="C319" s="3"/>
      <c r="F319" s="3"/>
      <c r="G319" s="3"/>
    </row>
    <row r="320" spans="3:7" ht="14.85" x14ac:dyDescent="0.25">
      <c r="C320" s="3"/>
      <c r="F320" s="3"/>
      <c r="G320" s="3"/>
    </row>
    <row r="321" spans="3:7" ht="14.85" x14ac:dyDescent="0.25">
      <c r="C321" s="3"/>
      <c r="F321" s="3"/>
      <c r="G321" s="3"/>
    </row>
    <row r="322" spans="3:7" ht="14.85" x14ac:dyDescent="0.25">
      <c r="C322" s="3"/>
      <c r="F322" s="3"/>
      <c r="G322" s="3"/>
    </row>
    <row r="323" spans="3:7" ht="14.85" x14ac:dyDescent="0.25">
      <c r="C323" s="3"/>
      <c r="F323" s="3"/>
      <c r="G323" s="3"/>
    </row>
    <row r="324" spans="3:7" ht="14.85" x14ac:dyDescent="0.25">
      <c r="C324" s="3"/>
      <c r="F324" s="3"/>
      <c r="G324" s="3"/>
    </row>
    <row r="325" spans="3:7" ht="14.85" x14ac:dyDescent="0.25">
      <c r="C325" s="3"/>
      <c r="F325" s="3"/>
      <c r="G325" s="3"/>
    </row>
    <row r="326" spans="3:7" ht="14.85" x14ac:dyDescent="0.25">
      <c r="C326" s="3"/>
      <c r="F326" s="3"/>
      <c r="G326" s="3"/>
    </row>
    <row r="327" spans="3:7" ht="14.85" x14ac:dyDescent="0.25">
      <c r="C327" s="3"/>
      <c r="F327" s="3"/>
      <c r="G327" s="3"/>
    </row>
    <row r="328" spans="3:7" ht="14.85" x14ac:dyDescent="0.25">
      <c r="C328" s="3"/>
      <c r="F328" s="3"/>
      <c r="G328" s="3"/>
    </row>
    <row r="329" spans="3:7" ht="14.85" x14ac:dyDescent="0.25">
      <c r="C329" s="3"/>
      <c r="F329" s="3"/>
      <c r="G329" s="3"/>
    </row>
    <row r="330" spans="3:7" ht="14.85" x14ac:dyDescent="0.25">
      <c r="C330" s="3"/>
      <c r="F330" s="3"/>
      <c r="G330" s="3"/>
    </row>
    <row r="331" spans="3:7" ht="14.85" x14ac:dyDescent="0.25">
      <c r="C331" s="3"/>
      <c r="F331" s="3"/>
      <c r="G331" s="3"/>
    </row>
    <row r="332" spans="3:7" ht="14.85" x14ac:dyDescent="0.25">
      <c r="C332" s="3"/>
      <c r="F332" s="3"/>
      <c r="G332" s="3"/>
    </row>
    <row r="333" spans="3:7" ht="14.85" x14ac:dyDescent="0.25">
      <c r="C333" s="3"/>
      <c r="F333" s="3"/>
      <c r="G333" s="3"/>
    </row>
    <row r="334" spans="3:7" ht="14.85" x14ac:dyDescent="0.25">
      <c r="C334" s="3"/>
      <c r="F334" s="3"/>
      <c r="G334" s="3"/>
    </row>
    <row r="335" spans="3:7" ht="14.85" x14ac:dyDescent="0.25">
      <c r="C335" s="3"/>
      <c r="F335" s="3"/>
      <c r="G335" s="3"/>
    </row>
    <row r="336" spans="3:7" ht="14.85" x14ac:dyDescent="0.25">
      <c r="C336" s="3"/>
      <c r="F336" s="3"/>
      <c r="G336" s="3"/>
    </row>
    <row r="337" spans="3:7" ht="14.85" x14ac:dyDescent="0.25">
      <c r="C337" s="3"/>
      <c r="F337" s="3"/>
      <c r="G337" s="3"/>
    </row>
    <row r="338" spans="3:7" ht="14.85" x14ac:dyDescent="0.25">
      <c r="C338" s="3"/>
      <c r="F338" s="3"/>
      <c r="G338" s="3"/>
    </row>
    <row r="339" spans="3:7" ht="14.85" x14ac:dyDescent="0.25">
      <c r="C339" s="3"/>
      <c r="F339" s="3"/>
      <c r="G339" s="3"/>
    </row>
    <row r="340" spans="3:7" ht="14.85" x14ac:dyDescent="0.25">
      <c r="C340" s="3"/>
      <c r="F340" s="3"/>
      <c r="G340" s="3"/>
    </row>
    <row r="341" spans="3:7" ht="14.85" x14ac:dyDescent="0.25">
      <c r="C341" s="3"/>
      <c r="F341" s="3"/>
      <c r="G341" s="3"/>
    </row>
    <row r="342" spans="3:7" ht="14.85" x14ac:dyDescent="0.25">
      <c r="C342" s="3"/>
      <c r="F342" s="3"/>
      <c r="G342" s="3"/>
    </row>
    <row r="343" spans="3:7" ht="14.85" x14ac:dyDescent="0.25">
      <c r="C343" s="3"/>
      <c r="F343" s="3"/>
      <c r="G343" s="3"/>
    </row>
    <row r="344" spans="3:7" ht="14.85" x14ac:dyDescent="0.25">
      <c r="C344" s="3"/>
      <c r="F344" s="3"/>
      <c r="G344" s="3"/>
    </row>
    <row r="345" spans="3:7" ht="14.85" x14ac:dyDescent="0.25">
      <c r="C345" s="3"/>
      <c r="F345" s="3"/>
      <c r="G345" s="3"/>
    </row>
    <row r="346" spans="3:7" ht="14.85" x14ac:dyDescent="0.25">
      <c r="C346" s="3"/>
      <c r="F346" s="3"/>
      <c r="G346" s="3"/>
    </row>
    <row r="347" spans="3:7" ht="14.85" x14ac:dyDescent="0.25">
      <c r="C347" s="3"/>
      <c r="F347" s="3"/>
      <c r="G347" s="3"/>
    </row>
    <row r="348" spans="3:7" ht="14.85" x14ac:dyDescent="0.25">
      <c r="C348" s="3"/>
      <c r="F348" s="3"/>
      <c r="G348" s="3"/>
    </row>
    <row r="349" spans="3:7" ht="14.85" x14ac:dyDescent="0.25">
      <c r="C349" s="3"/>
      <c r="F349" s="3"/>
      <c r="G349" s="3"/>
    </row>
    <row r="350" spans="3:7" ht="14.85" x14ac:dyDescent="0.25">
      <c r="C350" s="3"/>
      <c r="F350" s="3"/>
      <c r="G350" s="3"/>
    </row>
    <row r="351" spans="3:7" ht="14.85" x14ac:dyDescent="0.25">
      <c r="C351" s="3"/>
      <c r="F351" s="3"/>
      <c r="G351" s="3"/>
    </row>
    <row r="352" spans="3:7" ht="14.85" x14ac:dyDescent="0.25">
      <c r="C352" s="3"/>
      <c r="F352" s="3"/>
      <c r="G352" s="3"/>
    </row>
    <row r="353" spans="3:7" ht="14.85" x14ac:dyDescent="0.25">
      <c r="C353" s="3"/>
      <c r="F353" s="3"/>
      <c r="G353" s="3"/>
    </row>
    <row r="354" spans="3:7" ht="14.85" x14ac:dyDescent="0.25">
      <c r="C354" s="3"/>
      <c r="F354" s="3"/>
      <c r="G354" s="3"/>
    </row>
    <row r="355" spans="3:7" ht="14.85" x14ac:dyDescent="0.25">
      <c r="C355" s="3"/>
      <c r="F355" s="3"/>
      <c r="G355" s="3"/>
    </row>
    <row r="356" spans="3:7" ht="14.85" x14ac:dyDescent="0.25">
      <c r="C356" s="3"/>
      <c r="F356" s="3"/>
      <c r="G356" s="3"/>
    </row>
    <row r="357" spans="3:7" ht="14.85" x14ac:dyDescent="0.25">
      <c r="C357" s="3"/>
      <c r="F357" s="3"/>
      <c r="G357" s="3"/>
    </row>
    <row r="358" spans="3:7" ht="14.85" x14ac:dyDescent="0.25">
      <c r="C358" s="3"/>
      <c r="F358" s="3"/>
      <c r="G358" s="3"/>
    </row>
    <row r="359" spans="3:7" ht="14.85" x14ac:dyDescent="0.25">
      <c r="C359" s="3"/>
      <c r="F359" s="3"/>
      <c r="G359" s="3"/>
    </row>
    <row r="360" spans="3:7" ht="14.85" x14ac:dyDescent="0.25">
      <c r="C360" s="3"/>
      <c r="F360" s="3"/>
      <c r="G360" s="3"/>
    </row>
    <row r="361" spans="3:7" ht="14.85" x14ac:dyDescent="0.25">
      <c r="C361" s="3"/>
      <c r="F361" s="3"/>
      <c r="G361" s="3"/>
    </row>
    <row r="362" spans="3:7" ht="14.85" x14ac:dyDescent="0.25">
      <c r="C362" s="3"/>
      <c r="F362" s="3"/>
      <c r="G362" s="3"/>
    </row>
    <row r="363" spans="3:7" ht="14.85" x14ac:dyDescent="0.25">
      <c r="C363" s="3"/>
      <c r="F363" s="3"/>
      <c r="G363" s="3"/>
    </row>
    <row r="364" spans="3:7" ht="14.85" x14ac:dyDescent="0.25">
      <c r="C364" s="3"/>
      <c r="F364" s="3"/>
      <c r="G364" s="3"/>
    </row>
    <row r="365" spans="3:7" ht="14.85" x14ac:dyDescent="0.25">
      <c r="C365" s="3"/>
      <c r="F365" s="3"/>
      <c r="G365" s="3"/>
    </row>
    <row r="366" spans="3:7" ht="14.85" x14ac:dyDescent="0.25">
      <c r="C366" s="3"/>
      <c r="F366" s="3"/>
      <c r="G366" s="3"/>
    </row>
    <row r="367" spans="3:7" ht="14.85" x14ac:dyDescent="0.25">
      <c r="C367" s="3"/>
      <c r="F367" s="3"/>
      <c r="G367" s="3"/>
    </row>
    <row r="368" spans="3:7" ht="14.85" x14ac:dyDescent="0.25">
      <c r="C368" s="3"/>
      <c r="F368" s="3"/>
      <c r="G368" s="3"/>
    </row>
    <row r="369" spans="3:7" ht="14.85" x14ac:dyDescent="0.25">
      <c r="C369" s="3"/>
      <c r="F369" s="3"/>
      <c r="G369" s="3"/>
    </row>
    <row r="370" spans="3:7" ht="14.85" x14ac:dyDescent="0.25">
      <c r="C370" s="3"/>
      <c r="F370" s="3"/>
      <c r="G370" s="3"/>
    </row>
    <row r="371" spans="3:7" ht="14.85" x14ac:dyDescent="0.25">
      <c r="C371" s="3"/>
      <c r="F371" s="3"/>
      <c r="G371" s="3"/>
    </row>
    <row r="372" spans="3:7" ht="14.85" x14ac:dyDescent="0.25">
      <c r="C372" s="3"/>
      <c r="F372" s="3"/>
      <c r="G372" s="3"/>
    </row>
    <row r="373" spans="3:7" ht="14.85" x14ac:dyDescent="0.25">
      <c r="C373" s="3"/>
      <c r="F373" s="3"/>
      <c r="G373" s="3"/>
    </row>
    <row r="374" spans="3:7" ht="14.85" x14ac:dyDescent="0.25">
      <c r="C374" s="3"/>
      <c r="F374" s="3"/>
      <c r="G374" s="3"/>
    </row>
    <row r="375" spans="3:7" ht="14.85" x14ac:dyDescent="0.25">
      <c r="C375" s="3"/>
      <c r="F375" s="3"/>
      <c r="G375" s="3"/>
    </row>
    <row r="376" spans="3:7" ht="14.85" x14ac:dyDescent="0.25">
      <c r="C376" s="3"/>
      <c r="F376" s="3"/>
      <c r="G376" s="3"/>
    </row>
    <row r="377" spans="3:7" ht="14.85" x14ac:dyDescent="0.25">
      <c r="C377" s="3"/>
      <c r="F377" s="3"/>
      <c r="G377" s="3"/>
    </row>
    <row r="378" spans="3:7" ht="14.85" x14ac:dyDescent="0.25">
      <c r="C378" s="3"/>
      <c r="F378" s="3"/>
      <c r="G378" s="3"/>
    </row>
    <row r="379" spans="3:7" ht="14.85" x14ac:dyDescent="0.25">
      <c r="C379" s="3"/>
      <c r="F379" s="3"/>
      <c r="G379" s="3"/>
    </row>
    <row r="380" spans="3:7" ht="14.85" x14ac:dyDescent="0.25">
      <c r="C380" s="3"/>
      <c r="F380" s="3"/>
      <c r="G380" s="3"/>
    </row>
    <row r="381" spans="3:7" ht="14.85" x14ac:dyDescent="0.25">
      <c r="C381" s="3"/>
      <c r="F381" s="3"/>
      <c r="G381" s="3"/>
    </row>
    <row r="382" spans="3:7" ht="14.85" x14ac:dyDescent="0.25">
      <c r="C382" s="3"/>
      <c r="F382" s="3"/>
      <c r="G382" s="3"/>
    </row>
    <row r="383" spans="3:7" ht="14.85" x14ac:dyDescent="0.25">
      <c r="C383" s="3"/>
      <c r="F383" s="3"/>
      <c r="G383" s="3"/>
    </row>
    <row r="384" spans="3:7" ht="14.85" x14ac:dyDescent="0.25">
      <c r="C384" s="3"/>
      <c r="F384" s="3"/>
      <c r="G384" s="3"/>
    </row>
    <row r="385" spans="3:7" ht="14.85" x14ac:dyDescent="0.25">
      <c r="C385" s="3"/>
      <c r="F385" s="3"/>
      <c r="G385" s="3"/>
    </row>
    <row r="386" spans="3:7" ht="14.85" x14ac:dyDescent="0.25">
      <c r="C386" s="3"/>
      <c r="F386" s="3"/>
      <c r="G386" s="3"/>
    </row>
    <row r="387" spans="3:7" ht="14.85" x14ac:dyDescent="0.25">
      <c r="C387" s="3"/>
      <c r="F387" s="3"/>
      <c r="G387" s="3"/>
    </row>
    <row r="388" spans="3:7" ht="14.85" x14ac:dyDescent="0.25">
      <c r="C388" s="3"/>
      <c r="F388" s="3"/>
      <c r="G388" s="3"/>
    </row>
    <row r="389" spans="3:7" ht="14.85" x14ac:dyDescent="0.25">
      <c r="C389" s="3"/>
      <c r="F389" s="3"/>
      <c r="G389" s="3"/>
    </row>
    <row r="390" spans="3:7" ht="14.85" x14ac:dyDescent="0.25">
      <c r="C390" s="3"/>
      <c r="F390" s="3"/>
      <c r="G390" s="3"/>
    </row>
    <row r="391" spans="3:7" ht="14.85" x14ac:dyDescent="0.25">
      <c r="C391" s="3"/>
      <c r="F391" s="3"/>
      <c r="G391" s="3"/>
    </row>
    <row r="392" spans="3:7" ht="14.85" x14ac:dyDescent="0.25">
      <c r="C392" s="3"/>
      <c r="F392" s="3"/>
      <c r="G392" s="3"/>
    </row>
    <row r="393" spans="3:7" ht="14.85" x14ac:dyDescent="0.25">
      <c r="C393" s="3"/>
      <c r="F393" s="3"/>
      <c r="G393" s="3"/>
    </row>
    <row r="394" spans="3:7" ht="14.85" x14ac:dyDescent="0.25">
      <c r="C394" s="3"/>
      <c r="F394" s="3"/>
      <c r="G394" s="3"/>
    </row>
    <row r="395" spans="3:7" ht="14.85" x14ac:dyDescent="0.25">
      <c r="C395" s="3"/>
      <c r="F395" s="3"/>
      <c r="G395" s="3"/>
    </row>
    <row r="396" spans="3:7" ht="14.85" x14ac:dyDescent="0.25">
      <c r="C396" s="3"/>
      <c r="F396" s="3"/>
      <c r="G396" s="3"/>
    </row>
    <row r="397" spans="3:7" ht="14.85" x14ac:dyDescent="0.25">
      <c r="C397" s="3"/>
      <c r="F397" s="3"/>
      <c r="G397" s="3"/>
    </row>
    <row r="398" spans="3:7" ht="14.85" x14ac:dyDescent="0.25">
      <c r="C398" s="3"/>
      <c r="F398" s="3"/>
      <c r="G398" s="3"/>
    </row>
    <row r="399" spans="3:7" ht="14.85" x14ac:dyDescent="0.25">
      <c r="C399" s="3"/>
      <c r="F399" s="3"/>
      <c r="G399" s="3"/>
    </row>
    <row r="400" spans="3:7" ht="14.85" x14ac:dyDescent="0.25">
      <c r="C400" s="3"/>
      <c r="F400" s="3"/>
      <c r="G400" s="3"/>
    </row>
    <row r="401" spans="3:7" ht="14.85" x14ac:dyDescent="0.25">
      <c r="C401" s="3"/>
      <c r="F401" s="3"/>
      <c r="G401" s="3"/>
    </row>
    <row r="402" spans="3:7" ht="14.85" x14ac:dyDescent="0.25">
      <c r="C402" s="3"/>
      <c r="F402" s="3"/>
      <c r="G402" s="3"/>
    </row>
    <row r="403" spans="3:7" ht="14.85" x14ac:dyDescent="0.25">
      <c r="C403" s="3"/>
      <c r="F403" s="3"/>
      <c r="G403" s="3"/>
    </row>
    <row r="404" spans="3:7" ht="14.85" x14ac:dyDescent="0.25">
      <c r="C404" s="3"/>
      <c r="F404" s="3"/>
      <c r="G404" s="3"/>
    </row>
    <row r="405" spans="3:7" ht="14.85" x14ac:dyDescent="0.25">
      <c r="C405" s="3"/>
      <c r="F405" s="3"/>
      <c r="G405" s="3"/>
    </row>
    <row r="406" spans="3:7" ht="14.85" x14ac:dyDescent="0.25">
      <c r="C406" s="3"/>
      <c r="F406" s="3"/>
      <c r="G406" s="3"/>
    </row>
    <row r="407" spans="3:7" ht="14.85" x14ac:dyDescent="0.25">
      <c r="C407" s="3"/>
      <c r="F407" s="3"/>
      <c r="G407" s="3"/>
    </row>
    <row r="408" spans="3:7" ht="14.85" x14ac:dyDescent="0.25">
      <c r="C408" s="3"/>
      <c r="F408" s="3"/>
      <c r="G408" s="3"/>
    </row>
    <row r="409" spans="3:7" ht="14.85" x14ac:dyDescent="0.25">
      <c r="C409" s="3"/>
      <c r="F409" s="3"/>
      <c r="G409" s="3"/>
    </row>
    <row r="410" spans="3:7" ht="14.85" x14ac:dyDescent="0.25">
      <c r="C410" s="3"/>
      <c r="F410" s="3"/>
      <c r="G410" s="3"/>
    </row>
    <row r="411" spans="3:7" ht="14.85" x14ac:dyDescent="0.25">
      <c r="C411" s="3"/>
      <c r="F411" s="3"/>
      <c r="G411" s="3"/>
    </row>
    <row r="412" spans="3:7" ht="14.85" x14ac:dyDescent="0.25">
      <c r="C412" s="3"/>
      <c r="F412" s="3"/>
      <c r="G412" s="3"/>
    </row>
    <row r="413" spans="3:7" ht="14.85" x14ac:dyDescent="0.25">
      <c r="C413" s="3"/>
      <c r="F413" s="3"/>
      <c r="G413" s="3"/>
    </row>
    <row r="414" spans="3:7" ht="14.85" x14ac:dyDescent="0.25">
      <c r="C414" s="3"/>
      <c r="F414" s="3"/>
      <c r="G414" s="3"/>
    </row>
    <row r="415" spans="3:7" ht="14.85" x14ac:dyDescent="0.25">
      <c r="C415" s="3"/>
      <c r="F415" s="3"/>
      <c r="G415" s="3"/>
    </row>
    <row r="416" spans="3:7" ht="14.85" x14ac:dyDescent="0.25">
      <c r="C416" s="3"/>
      <c r="F416" s="3"/>
      <c r="G416" s="3"/>
    </row>
    <row r="417" spans="3:7" ht="14.85" x14ac:dyDescent="0.25">
      <c r="C417" s="3"/>
      <c r="F417" s="3"/>
      <c r="G417" s="3"/>
    </row>
    <row r="418" spans="3:7" ht="14.85" x14ac:dyDescent="0.25">
      <c r="C418" s="3"/>
      <c r="F418" s="3"/>
      <c r="G418" s="3"/>
    </row>
    <row r="419" spans="3:7" ht="14.85" x14ac:dyDescent="0.25">
      <c r="C419" s="3"/>
      <c r="F419" s="3"/>
      <c r="G419" s="3"/>
    </row>
    <row r="420" spans="3:7" ht="14.85" x14ac:dyDescent="0.25">
      <c r="C420" s="3"/>
      <c r="F420" s="3"/>
      <c r="G420" s="3"/>
    </row>
    <row r="421" spans="3:7" ht="14.85" x14ac:dyDescent="0.25">
      <c r="C421" s="3"/>
      <c r="F421" s="3"/>
      <c r="G421" s="3"/>
    </row>
    <row r="422" spans="3:7" ht="14.85" x14ac:dyDescent="0.25">
      <c r="C422" s="3"/>
      <c r="F422" s="3"/>
      <c r="G422" s="3"/>
    </row>
    <row r="423" spans="3:7" ht="14.85" x14ac:dyDescent="0.25">
      <c r="C423" s="3"/>
      <c r="F423" s="3"/>
      <c r="G423" s="3"/>
    </row>
    <row r="424" spans="3:7" ht="14.85" x14ac:dyDescent="0.25">
      <c r="C424" s="3"/>
      <c r="F424" s="3"/>
      <c r="G424" s="3"/>
    </row>
    <row r="425" spans="3:7" ht="14.85" x14ac:dyDescent="0.25">
      <c r="C425" s="3"/>
      <c r="F425" s="3"/>
      <c r="G425" s="3"/>
    </row>
    <row r="426" spans="3:7" ht="14.85" x14ac:dyDescent="0.25">
      <c r="C426" s="3"/>
      <c r="F426" s="3"/>
      <c r="G426" s="3"/>
    </row>
    <row r="427" spans="3:7" ht="14.85" x14ac:dyDescent="0.25">
      <c r="C427" s="3"/>
      <c r="F427" s="3"/>
      <c r="G427" s="3"/>
    </row>
    <row r="428" spans="3:7" ht="14.85" x14ac:dyDescent="0.25">
      <c r="C428" s="3"/>
      <c r="F428" s="3"/>
      <c r="G428" s="3"/>
    </row>
    <row r="429" spans="3:7" ht="14.85" x14ac:dyDescent="0.25">
      <c r="C429" s="3"/>
      <c r="F429" s="3"/>
      <c r="G429" s="3"/>
    </row>
    <row r="430" spans="3:7" ht="14.85" x14ac:dyDescent="0.25">
      <c r="C430" s="3"/>
      <c r="F430" s="3"/>
      <c r="G430" s="3"/>
    </row>
    <row r="431" spans="3:7" ht="14.85" x14ac:dyDescent="0.25">
      <c r="C431" s="3"/>
      <c r="F431" s="3"/>
      <c r="G431" s="3"/>
    </row>
    <row r="432" spans="3:7" ht="14.85" x14ac:dyDescent="0.25">
      <c r="C432" s="3"/>
      <c r="F432" s="3"/>
      <c r="G432" s="3"/>
    </row>
    <row r="433" spans="3:7" ht="14.85" x14ac:dyDescent="0.25">
      <c r="C433" s="3"/>
      <c r="F433" s="3"/>
      <c r="G433" s="3"/>
    </row>
    <row r="434" spans="3:7" ht="14.85" x14ac:dyDescent="0.25">
      <c r="C434" s="3"/>
      <c r="F434" s="3"/>
      <c r="G434" s="3"/>
    </row>
    <row r="435" spans="3:7" ht="14.85" x14ac:dyDescent="0.25">
      <c r="C435" s="3"/>
      <c r="F435" s="3"/>
      <c r="G435" s="3"/>
    </row>
    <row r="436" spans="3:7" ht="14.85" x14ac:dyDescent="0.25">
      <c r="C436" s="3"/>
      <c r="F436" s="3"/>
      <c r="G436" s="3"/>
    </row>
    <row r="437" spans="3:7" ht="14.85" x14ac:dyDescent="0.25">
      <c r="C437" s="3"/>
      <c r="F437" s="3"/>
      <c r="G437" s="3"/>
    </row>
    <row r="438" spans="3:7" ht="14.85" x14ac:dyDescent="0.25">
      <c r="C438" s="3"/>
      <c r="F438" s="3"/>
      <c r="G438" s="3"/>
    </row>
    <row r="439" spans="3:7" ht="14.85" x14ac:dyDescent="0.25">
      <c r="C439" s="3"/>
      <c r="F439" s="3"/>
      <c r="G439" s="3"/>
    </row>
    <row r="440" spans="3:7" ht="14.85" x14ac:dyDescent="0.25">
      <c r="C440" s="3"/>
      <c r="F440" s="3"/>
      <c r="G440" s="3"/>
    </row>
    <row r="441" spans="3:7" ht="14.85" x14ac:dyDescent="0.25">
      <c r="C441" s="3"/>
      <c r="F441" s="3"/>
      <c r="G441" s="3"/>
    </row>
    <row r="442" spans="3:7" ht="14.85" x14ac:dyDescent="0.25">
      <c r="C442" s="3"/>
      <c r="F442" s="3"/>
      <c r="G442" s="3"/>
    </row>
    <row r="443" spans="3:7" ht="14.85" x14ac:dyDescent="0.25">
      <c r="C443" s="3"/>
      <c r="F443" s="3"/>
      <c r="G443" s="3"/>
    </row>
    <row r="444" spans="3:7" ht="14.85" x14ac:dyDescent="0.25">
      <c r="C444" s="3"/>
      <c r="F444" s="3"/>
      <c r="G444" s="3"/>
    </row>
    <row r="445" spans="3:7" ht="14.85" x14ac:dyDescent="0.25">
      <c r="C445" s="3"/>
      <c r="F445" s="3"/>
      <c r="G445" s="3"/>
    </row>
    <row r="446" spans="3:7" ht="14.85" x14ac:dyDescent="0.25">
      <c r="C446" s="3"/>
      <c r="F446" s="3"/>
      <c r="G446" s="3"/>
    </row>
    <row r="447" spans="3:7" ht="14.85" x14ac:dyDescent="0.25">
      <c r="C447" s="3"/>
      <c r="F447" s="3"/>
      <c r="G447" s="3"/>
    </row>
    <row r="448" spans="3:7" ht="14.85" x14ac:dyDescent="0.25">
      <c r="C448" s="3"/>
      <c r="F448" s="3"/>
      <c r="G448" s="3"/>
    </row>
    <row r="449" spans="3:7" ht="14.85" x14ac:dyDescent="0.25">
      <c r="C449" s="3"/>
      <c r="F449" s="3"/>
      <c r="G449" s="3"/>
    </row>
    <row r="450" spans="3:7" ht="14.85" x14ac:dyDescent="0.25">
      <c r="C450" s="3"/>
      <c r="F450" s="3"/>
      <c r="G450" s="3"/>
    </row>
    <row r="451" spans="3:7" ht="14.85" x14ac:dyDescent="0.25">
      <c r="C451" s="3"/>
      <c r="F451" s="3"/>
      <c r="G451" s="3"/>
    </row>
    <row r="452" spans="3:7" ht="14.85" x14ac:dyDescent="0.25">
      <c r="C452" s="3"/>
      <c r="F452" s="3"/>
      <c r="G452" s="3"/>
    </row>
    <row r="453" spans="3:7" ht="14.85" x14ac:dyDescent="0.25">
      <c r="C453" s="3"/>
      <c r="F453" s="3"/>
      <c r="G453" s="3"/>
    </row>
    <row r="454" spans="3:7" ht="14.85" x14ac:dyDescent="0.25">
      <c r="C454" s="3"/>
      <c r="F454" s="3"/>
      <c r="G454" s="3"/>
    </row>
    <row r="455" spans="3:7" ht="14.85" x14ac:dyDescent="0.25">
      <c r="C455" s="3"/>
      <c r="F455" s="3"/>
      <c r="G455" s="3"/>
    </row>
    <row r="456" spans="3:7" ht="14.85" x14ac:dyDescent="0.25">
      <c r="C456" s="3"/>
      <c r="F456" s="3"/>
      <c r="G456" s="3"/>
    </row>
    <row r="457" spans="3:7" ht="14.85" x14ac:dyDescent="0.25">
      <c r="C457" s="3"/>
      <c r="F457" s="3"/>
      <c r="G457" s="3"/>
    </row>
    <row r="458" spans="3:7" ht="14.85" x14ac:dyDescent="0.25">
      <c r="C458" s="3"/>
      <c r="F458" s="3"/>
      <c r="G458" s="3"/>
    </row>
    <row r="459" spans="3:7" ht="14.85" x14ac:dyDescent="0.25">
      <c r="C459" s="3"/>
      <c r="F459" s="3"/>
      <c r="G459" s="3"/>
    </row>
    <row r="460" spans="3:7" ht="14.85" x14ac:dyDescent="0.25">
      <c r="C460" s="3"/>
      <c r="F460" s="3"/>
      <c r="G460" s="3"/>
    </row>
    <row r="461" spans="3:7" ht="14.85" x14ac:dyDescent="0.25">
      <c r="C461" s="3"/>
      <c r="F461" s="3"/>
      <c r="G461" s="3"/>
    </row>
    <row r="462" spans="3:7" ht="14.85" x14ac:dyDescent="0.25">
      <c r="C462" s="3"/>
      <c r="F462" s="3"/>
      <c r="G462" s="3"/>
    </row>
    <row r="463" spans="3:7" ht="14.85" x14ac:dyDescent="0.25">
      <c r="C463" s="3"/>
      <c r="F463" s="3"/>
      <c r="G463" s="3"/>
    </row>
    <row r="464" spans="3:7" ht="14.85" x14ac:dyDescent="0.25">
      <c r="C464" s="3"/>
      <c r="F464" s="3"/>
      <c r="G464" s="3"/>
    </row>
    <row r="465" spans="3:7" ht="14.85" x14ac:dyDescent="0.25">
      <c r="C465" s="3"/>
      <c r="F465" s="3"/>
      <c r="G465" s="3"/>
    </row>
    <row r="466" spans="3:7" ht="14.85" x14ac:dyDescent="0.25">
      <c r="C466" s="3"/>
      <c r="F466" s="3"/>
      <c r="G466" s="3"/>
    </row>
    <row r="467" spans="3:7" ht="14.85" x14ac:dyDescent="0.25">
      <c r="C467" s="3"/>
      <c r="F467" s="3"/>
      <c r="G467" s="3"/>
    </row>
    <row r="468" spans="3:7" ht="14.85" x14ac:dyDescent="0.25">
      <c r="C468" s="3"/>
      <c r="F468" s="3"/>
      <c r="G468" s="3"/>
    </row>
    <row r="469" spans="3:7" ht="14.85" x14ac:dyDescent="0.25">
      <c r="C469" s="3"/>
      <c r="F469" s="3"/>
      <c r="G469" s="3"/>
    </row>
    <row r="470" spans="3:7" ht="14.85" x14ac:dyDescent="0.25">
      <c r="C470" s="3"/>
      <c r="F470" s="3"/>
      <c r="G470" s="3"/>
    </row>
    <row r="471" spans="3:7" ht="14.85" x14ac:dyDescent="0.25">
      <c r="C471" s="3"/>
      <c r="F471" s="3"/>
      <c r="G471" s="3"/>
    </row>
    <row r="472" spans="3:7" ht="14.85" x14ac:dyDescent="0.25">
      <c r="C472" s="3"/>
      <c r="F472" s="3"/>
      <c r="G472" s="3"/>
    </row>
    <row r="473" spans="3:7" ht="14.85" x14ac:dyDescent="0.25">
      <c r="C473" s="3"/>
      <c r="F473" s="3"/>
      <c r="G473" s="3"/>
    </row>
    <row r="474" spans="3:7" ht="14.85" x14ac:dyDescent="0.25">
      <c r="C474" s="3"/>
      <c r="F474" s="3"/>
      <c r="G474" s="3"/>
    </row>
    <row r="475" spans="3:7" ht="14.85" x14ac:dyDescent="0.25">
      <c r="C475" s="3"/>
      <c r="F475" s="3"/>
      <c r="G475" s="3"/>
    </row>
    <row r="476" spans="3:7" ht="14.85" x14ac:dyDescent="0.25">
      <c r="C476" s="3"/>
      <c r="F476" s="3"/>
      <c r="G476" s="3"/>
    </row>
    <row r="477" spans="3:7" ht="14.85" x14ac:dyDescent="0.25">
      <c r="C477" s="3"/>
      <c r="F477" s="3"/>
      <c r="G477" s="3"/>
    </row>
    <row r="478" spans="3:7" ht="14.85" x14ac:dyDescent="0.25">
      <c r="C478" s="3"/>
      <c r="F478" s="3"/>
      <c r="G478" s="3"/>
    </row>
    <row r="479" spans="3:7" ht="14.85" x14ac:dyDescent="0.25">
      <c r="C479" s="3"/>
      <c r="F479" s="3"/>
      <c r="G479" s="3"/>
    </row>
    <row r="480" spans="3:7" ht="14.85" x14ac:dyDescent="0.25">
      <c r="C480" s="3"/>
      <c r="F480" s="3"/>
      <c r="G480" s="3"/>
    </row>
    <row r="481" spans="3:7" ht="14.85" x14ac:dyDescent="0.25">
      <c r="C481" s="3"/>
      <c r="F481" s="3"/>
      <c r="G481" s="3"/>
    </row>
    <row r="482" spans="3:7" ht="14.85" x14ac:dyDescent="0.25">
      <c r="C482" s="3"/>
      <c r="F482" s="3"/>
      <c r="G482" s="3"/>
    </row>
    <row r="483" spans="3:7" ht="14.85" x14ac:dyDescent="0.25">
      <c r="C483" s="3"/>
      <c r="F483" s="3"/>
      <c r="G483" s="3"/>
    </row>
    <row r="484" spans="3:7" ht="14.85" x14ac:dyDescent="0.25">
      <c r="C484" s="3"/>
      <c r="F484" s="3"/>
      <c r="G484" s="3"/>
    </row>
    <row r="485" spans="3:7" ht="14.85" x14ac:dyDescent="0.25">
      <c r="C485" s="3"/>
      <c r="F485" s="3"/>
      <c r="G485" s="3"/>
    </row>
    <row r="486" spans="3:7" ht="14.85" x14ac:dyDescent="0.25">
      <c r="C486" s="3"/>
      <c r="F486" s="3"/>
      <c r="G486" s="3"/>
    </row>
    <row r="487" spans="3:7" ht="14.85" x14ac:dyDescent="0.25">
      <c r="C487" s="3"/>
      <c r="F487" s="3"/>
      <c r="G487" s="3"/>
    </row>
    <row r="488" spans="3:7" ht="14.85" x14ac:dyDescent="0.25">
      <c r="C488" s="3"/>
      <c r="F488" s="3"/>
      <c r="G488" s="3"/>
    </row>
    <row r="489" spans="3:7" ht="14.85" x14ac:dyDescent="0.25">
      <c r="C489" s="3"/>
      <c r="F489" s="3"/>
      <c r="G489" s="3"/>
    </row>
    <row r="490" spans="3:7" ht="14.85" x14ac:dyDescent="0.25">
      <c r="C490" s="3"/>
      <c r="F490" s="3"/>
      <c r="G490" s="3"/>
    </row>
    <row r="491" spans="3:7" ht="14.85" x14ac:dyDescent="0.25">
      <c r="C491" s="3"/>
      <c r="F491" s="3"/>
      <c r="G491" s="3"/>
    </row>
    <row r="492" spans="3:7" ht="14.85" x14ac:dyDescent="0.25">
      <c r="C492" s="3"/>
      <c r="F492" s="3"/>
      <c r="G492" s="3"/>
    </row>
    <row r="493" spans="3:7" ht="14.85" x14ac:dyDescent="0.25">
      <c r="C493" s="3"/>
      <c r="F493" s="3"/>
      <c r="G493" s="3"/>
    </row>
    <row r="494" spans="3:7" ht="14.85" x14ac:dyDescent="0.25">
      <c r="C494" s="3"/>
      <c r="F494" s="3"/>
      <c r="G494" s="3"/>
    </row>
    <row r="495" spans="3:7" ht="14.85" x14ac:dyDescent="0.25">
      <c r="C495" s="3"/>
      <c r="F495" s="3"/>
      <c r="G495" s="3"/>
    </row>
    <row r="496" spans="3:7" ht="14.85" x14ac:dyDescent="0.25">
      <c r="C496" s="3"/>
      <c r="F496" s="3"/>
      <c r="G496" s="3"/>
    </row>
    <row r="497" spans="3:7" ht="14.85" x14ac:dyDescent="0.25">
      <c r="C497" s="3"/>
      <c r="F497" s="3"/>
      <c r="G497" s="3"/>
    </row>
    <row r="498" spans="3:7" ht="14.85" x14ac:dyDescent="0.25">
      <c r="C498" s="3"/>
      <c r="F498" s="3"/>
      <c r="G498" s="3"/>
    </row>
    <row r="499" spans="3:7" ht="14.85" x14ac:dyDescent="0.25">
      <c r="C499" s="3"/>
      <c r="F499" s="3"/>
      <c r="G499" s="3"/>
    </row>
    <row r="500" spans="3:7" ht="14.85" x14ac:dyDescent="0.25">
      <c r="C500" s="3"/>
      <c r="F500" s="3"/>
      <c r="G500" s="3"/>
    </row>
    <row r="501" spans="3:7" ht="14.85" x14ac:dyDescent="0.25">
      <c r="C501" s="3"/>
      <c r="F501" s="3"/>
      <c r="G501" s="3"/>
    </row>
    <row r="502" spans="3:7" ht="14.85" x14ac:dyDescent="0.25">
      <c r="C502" s="3"/>
      <c r="F502" s="3"/>
      <c r="G502" s="3"/>
    </row>
    <row r="503" spans="3:7" ht="14.85" x14ac:dyDescent="0.25">
      <c r="C503" s="3"/>
      <c r="F503" s="3"/>
      <c r="G503" s="3"/>
    </row>
    <row r="504" spans="3:7" ht="14.85" x14ac:dyDescent="0.25">
      <c r="C504" s="3"/>
      <c r="F504" s="3"/>
      <c r="G504" s="3"/>
    </row>
    <row r="505" spans="3:7" ht="14.85" x14ac:dyDescent="0.25">
      <c r="C505" s="3"/>
      <c r="F505" s="3"/>
      <c r="G505" s="3"/>
    </row>
    <row r="506" spans="3:7" ht="14.85" x14ac:dyDescent="0.25">
      <c r="C506" s="3"/>
      <c r="F506" s="3"/>
      <c r="G506" s="3"/>
    </row>
    <row r="507" spans="3:7" ht="14.85" x14ac:dyDescent="0.25">
      <c r="C507" s="3"/>
      <c r="F507" s="3"/>
      <c r="G507" s="3"/>
    </row>
    <row r="508" spans="3:7" ht="14.85" x14ac:dyDescent="0.25">
      <c r="C508" s="3"/>
      <c r="F508" s="3"/>
      <c r="G508" s="3"/>
    </row>
    <row r="509" spans="3:7" ht="14.85" x14ac:dyDescent="0.25">
      <c r="C509" s="3"/>
      <c r="F509" s="3"/>
      <c r="G509" s="3"/>
    </row>
    <row r="510" spans="3:7" ht="14.85" x14ac:dyDescent="0.25">
      <c r="C510" s="3"/>
      <c r="F510" s="3"/>
      <c r="G510" s="3"/>
    </row>
    <row r="511" spans="3:7" ht="14.85" x14ac:dyDescent="0.25">
      <c r="C511" s="3"/>
      <c r="F511" s="3"/>
      <c r="G511" s="3"/>
    </row>
    <row r="512" spans="3:7" ht="14.85" x14ac:dyDescent="0.25">
      <c r="C512" s="3"/>
      <c r="F512" s="3"/>
      <c r="G512" s="3"/>
    </row>
    <row r="513" spans="3:7" ht="14.85" x14ac:dyDescent="0.25">
      <c r="C513" s="3"/>
      <c r="F513" s="3"/>
      <c r="G513" s="3"/>
    </row>
    <row r="514" spans="3:7" ht="14.85" x14ac:dyDescent="0.25">
      <c r="C514" s="3"/>
      <c r="F514" s="3"/>
      <c r="G514" s="3"/>
    </row>
    <row r="515" spans="3:7" ht="14.85" x14ac:dyDescent="0.25">
      <c r="C515" s="3"/>
      <c r="F515" s="3"/>
      <c r="G515" s="3"/>
    </row>
    <row r="516" spans="3:7" ht="14.85" x14ac:dyDescent="0.25">
      <c r="C516" s="3"/>
      <c r="F516" s="3"/>
      <c r="G516" s="3"/>
    </row>
    <row r="517" spans="3:7" ht="14.85" x14ac:dyDescent="0.25">
      <c r="C517" s="3"/>
      <c r="F517" s="3"/>
      <c r="G517" s="3"/>
    </row>
    <row r="518" spans="3:7" ht="14.85" x14ac:dyDescent="0.25">
      <c r="C518" s="3"/>
      <c r="F518" s="3"/>
      <c r="G518" s="3"/>
    </row>
    <row r="519" spans="3:7" ht="14.85" x14ac:dyDescent="0.25">
      <c r="C519" s="3"/>
      <c r="F519" s="3"/>
      <c r="G519" s="3"/>
    </row>
    <row r="520" spans="3:7" ht="14.85" x14ac:dyDescent="0.25">
      <c r="C520" s="3"/>
      <c r="F520" s="3"/>
      <c r="G520" s="3"/>
    </row>
    <row r="521" spans="3:7" ht="14.85" x14ac:dyDescent="0.25">
      <c r="C521" s="3"/>
      <c r="F521" s="3"/>
      <c r="G521" s="3"/>
    </row>
    <row r="522" spans="3:7" ht="14.85" x14ac:dyDescent="0.25">
      <c r="C522" s="3"/>
      <c r="F522" s="3"/>
      <c r="G522" s="3"/>
    </row>
    <row r="523" spans="3:7" ht="14.85" x14ac:dyDescent="0.25">
      <c r="C523" s="3"/>
      <c r="F523" s="3"/>
      <c r="G523" s="3"/>
    </row>
    <row r="524" spans="3:7" ht="14.85" x14ac:dyDescent="0.25">
      <c r="C524" s="3"/>
      <c r="F524" s="3"/>
      <c r="G524" s="3"/>
    </row>
    <row r="525" spans="3:7" ht="14.85" x14ac:dyDescent="0.25">
      <c r="C525" s="3"/>
      <c r="F525" s="3"/>
      <c r="G525" s="3"/>
    </row>
    <row r="526" spans="3:7" ht="14.85" x14ac:dyDescent="0.25">
      <c r="C526" s="3"/>
      <c r="F526" s="3"/>
      <c r="G526" s="3"/>
    </row>
    <row r="527" spans="3:7" ht="14.85" x14ac:dyDescent="0.25">
      <c r="C527" s="3"/>
      <c r="F527" s="3"/>
      <c r="G527" s="3"/>
    </row>
    <row r="528" spans="3:7" ht="14.85" x14ac:dyDescent="0.25">
      <c r="C528" s="3"/>
      <c r="F528" s="3"/>
      <c r="G528" s="3"/>
    </row>
    <row r="529" spans="3:7" ht="14.85" x14ac:dyDescent="0.25">
      <c r="C529" s="3"/>
      <c r="F529" s="3"/>
      <c r="G529" s="3"/>
    </row>
    <row r="530" spans="3:7" ht="14.85" x14ac:dyDescent="0.25">
      <c r="C530" s="3"/>
      <c r="F530" s="3"/>
      <c r="G530" s="3"/>
    </row>
    <row r="531" spans="3:7" ht="14.85" x14ac:dyDescent="0.25">
      <c r="C531" s="3"/>
      <c r="F531" s="3"/>
      <c r="G531" s="3"/>
    </row>
    <row r="532" spans="3:7" ht="14.85" x14ac:dyDescent="0.25">
      <c r="C532" s="3"/>
      <c r="F532" s="3"/>
      <c r="G532" s="3"/>
    </row>
    <row r="533" spans="3:7" ht="14.85" x14ac:dyDescent="0.25">
      <c r="C533" s="3"/>
      <c r="F533" s="3"/>
      <c r="G533" s="3"/>
    </row>
    <row r="534" spans="3:7" ht="14.85" x14ac:dyDescent="0.25">
      <c r="C534" s="3"/>
      <c r="F534" s="3"/>
      <c r="G534" s="3"/>
    </row>
    <row r="535" spans="3:7" ht="14.85" x14ac:dyDescent="0.25">
      <c r="C535" s="3"/>
      <c r="F535" s="3"/>
      <c r="G535" s="3"/>
    </row>
    <row r="536" spans="3:7" ht="14.85" x14ac:dyDescent="0.25">
      <c r="C536" s="3"/>
      <c r="F536" s="3"/>
      <c r="G536" s="3"/>
    </row>
    <row r="537" spans="3:7" ht="14.85" x14ac:dyDescent="0.25">
      <c r="C537" s="3"/>
      <c r="F537" s="3"/>
      <c r="G537" s="3"/>
    </row>
    <row r="538" spans="3:7" ht="14.85" x14ac:dyDescent="0.25">
      <c r="C538" s="3"/>
      <c r="F538" s="3"/>
      <c r="G538" s="3"/>
    </row>
    <row r="539" spans="3:7" ht="14.85" x14ac:dyDescent="0.25">
      <c r="C539" s="3"/>
      <c r="F539" s="3"/>
      <c r="G539" s="3"/>
    </row>
    <row r="540" spans="3:7" ht="14.85" x14ac:dyDescent="0.25">
      <c r="C540" s="3"/>
      <c r="F540" s="3"/>
      <c r="G540" s="3"/>
    </row>
    <row r="541" spans="3:7" ht="14.85" x14ac:dyDescent="0.25">
      <c r="C541" s="3"/>
      <c r="F541" s="3"/>
      <c r="G541" s="3"/>
    </row>
    <row r="542" spans="3:7" ht="14.85" x14ac:dyDescent="0.25">
      <c r="C542" s="3"/>
      <c r="F542" s="3"/>
      <c r="G542" s="3"/>
    </row>
    <row r="543" spans="3:7" ht="14.85" x14ac:dyDescent="0.25">
      <c r="C543" s="3"/>
      <c r="F543" s="3"/>
      <c r="G543" s="3"/>
    </row>
    <row r="544" spans="3:7" ht="14.85" x14ac:dyDescent="0.25">
      <c r="C544" s="3"/>
      <c r="F544" s="3"/>
      <c r="G544" s="3"/>
    </row>
    <row r="545" spans="3:7" ht="14.85" x14ac:dyDescent="0.25">
      <c r="C545" s="3"/>
      <c r="F545" s="3"/>
      <c r="G545" s="3"/>
    </row>
    <row r="546" spans="3:7" ht="14.85" x14ac:dyDescent="0.25">
      <c r="C546" s="3"/>
      <c r="F546" s="3"/>
      <c r="G546" s="3"/>
    </row>
    <row r="547" spans="3:7" ht="14.85" x14ac:dyDescent="0.25">
      <c r="C547" s="3"/>
      <c r="F547" s="3"/>
      <c r="G547" s="3"/>
    </row>
    <row r="548" spans="3:7" ht="14.85" x14ac:dyDescent="0.25">
      <c r="C548" s="3"/>
      <c r="F548" s="3"/>
      <c r="G548" s="3"/>
    </row>
    <row r="549" spans="3:7" ht="14.85" x14ac:dyDescent="0.25">
      <c r="C549" s="3"/>
      <c r="F549" s="3"/>
      <c r="G549" s="3"/>
    </row>
    <row r="550" spans="3:7" ht="14.85" x14ac:dyDescent="0.25">
      <c r="C550" s="3"/>
      <c r="F550" s="3"/>
      <c r="G550" s="3"/>
    </row>
    <row r="551" spans="3:7" ht="14.85" x14ac:dyDescent="0.25">
      <c r="C551" s="3"/>
      <c r="F551" s="3"/>
      <c r="G551" s="3"/>
    </row>
    <row r="552" spans="3:7" ht="14.85" x14ac:dyDescent="0.25">
      <c r="C552" s="3"/>
      <c r="F552" s="3"/>
      <c r="G552" s="3"/>
    </row>
    <row r="553" spans="3:7" ht="14.85" x14ac:dyDescent="0.25">
      <c r="C553" s="3"/>
      <c r="F553" s="3"/>
      <c r="G553" s="3"/>
    </row>
    <row r="554" spans="3:7" ht="14.85" x14ac:dyDescent="0.25">
      <c r="C554" s="3"/>
      <c r="F554" s="3"/>
      <c r="G554" s="3"/>
    </row>
    <row r="555" spans="3:7" ht="14.85" x14ac:dyDescent="0.25">
      <c r="C555" s="3"/>
      <c r="F555" s="3"/>
      <c r="G555" s="3"/>
    </row>
    <row r="556" spans="3:7" ht="14.85" x14ac:dyDescent="0.25">
      <c r="C556" s="3"/>
      <c r="F556" s="3"/>
      <c r="G556" s="3"/>
    </row>
    <row r="557" spans="3:7" ht="14.85" x14ac:dyDescent="0.25">
      <c r="C557" s="3"/>
      <c r="F557" s="3"/>
      <c r="G557" s="3"/>
    </row>
    <row r="558" spans="3:7" ht="14.85" x14ac:dyDescent="0.25">
      <c r="C558" s="3"/>
      <c r="F558" s="3"/>
      <c r="G558" s="3"/>
    </row>
    <row r="559" spans="3:7" ht="14.85" x14ac:dyDescent="0.25">
      <c r="C559" s="3"/>
      <c r="F559" s="3"/>
      <c r="G559" s="3"/>
    </row>
    <row r="560" spans="3:7" ht="14.85" x14ac:dyDescent="0.25">
      <c r="C560" s="3"/>
      <c r="F560" s="3"/>
      <c r="G560" s="3"/>
    </row>
    <row r="561" spans="3:7" ht="14.85" x14ac:dyDescent="0.25">
      <c r="C561" s="3"/>
      <c r="F561" s="3"/>
      <c r="G561" s="3"/>
    </row>
    <row r="562" spans="3:7" ht="14.85" x14ac:dyDescent="0.25">
      <c r="C562" s="3"/>
      <c r="F562" s="3"/>
      <c r="G562" s="3"/>
    </row>
    <row r="563" spans="3:7" ht="14.85" x14ac:dyDescent="0.25">
      <c r="C563" s="3"/>
      <c r="F563" s="3"/>
      <c r="G563" s="3"/>
    </row>
    <row r="564" spans="3:7" ht="14.85" x14ac:dyDescent="0.25">
      <c r="C564" s="3"/>
      <c r="F564" s="3"/>
      <c r="G564" s="3"/>
    </row>
    <row r="565" spans="3:7" ht="14.85" x14ac:dyDescent="0.25">
      <c r="C565" s="3"/>
      <c r="F565" s="3"/>
      <c r="G565" s="3"/>
    </row>
    <row r="566" spans="3:7" ht="14.85" x14ac:dyDescent="0.25">
      <c r="C566" s="3"/>
      <c r="F566" s="3"/>
      <c r="G566" s="3"/>
    </row>
    <row r="567" spans="3:7" ht="14.85" x14ac:dyDescent="0.25">
      <c r="C567" s="3"/>
      <c r="F567" s="3"/>
      <c r="G567" s="3"/>
    </row>
    <row r="568" spans="3:7" ht="14.85" x14ac:dyDescent="0.25">
      <c r="C568" s="3"/>
      <c r="F568" s="3"/>
      <c r="G568" s="3"/>
    </row>
    <row r="569" spans="3:7" ht="14.85" x14ac:dyDescent="0.25">
      <c r="C569" s="3"/>
      <c r="F569" s="3"/>
      <c r="G569" s="3"/>
    </row>
    <row r="570" spans="3:7" ht="14.85" x14ac:dyDescent="0.25">
      <c r="C570" s="3"/>
      <c r="F570" s="3"/>
      <c r="G570" s="3"/>
    </row>
    <row r="571" spans="3:7" ht="14.85" x14ac:dyDescent="0.25">
      <c r="C571" s="3"/>
      <c r="F571" s="3"/>
      <c r="G571" s="3"/>
    </row>
    <row r="572" spans="3:7" ht="14.85" x14ac:dyDescent="0.25">
      <c r="C572" s="3"/>
      <c r="F572" s="3"/>
      <c r="G572" s="3"/>
    </row>
    <row r="573" spans="3:7" ht="14.85" x14ac:dyDescent="0.25">
      <c r="C573" s="3"/>
      <c r="F573" s="3"/>
      <c r="G573" s="3"/>
    </row>
    <row r="574" spans="3:7" ht="14.85" x14ac:dyDescent="0.25">
      <c r="C574" s="3"/>
      <c r="F574" s="3"/>
      <c r="G574" s="3"/>
    </row>
    <row r="575" spans="3:7" ht="14.85" x14ac:dyDescent="0.25">
      <c r="C575" s="3"/>
      <c r="F575" s="3"/>
      <c r="G575" s="3"/>
    </row>
    <row r="576" spans="3:7" ht="14.85" x14ac:dyDescent="0.25">
      <c r="C576" s="3"/>
      <c r="F576" s="3"/>
      <c r="G576" s="3"/>
    </row>
    <row r="577" spans="3:7" ht="14.85" x14ac:dyDescent="0.25">
      <c r="C577" s="3"/>
      <c r="F577" s="3"/>
      <c r="G577" s="3"/>
    </row>
    <row r="578" spans="3:7" ht="14.85" x14ac:dyDescent="0.25">
      <c r="C578" s="3"/>
      <c r="F578" s="3"/>
      <c r="G578" s="3"/>
    </row>
    <row r="579" spans="3:7" ht="14.85" x14ac:dyDescent="0.25">
      <c r="C579" s="3"/>
      <c r="F579" s="3"/>
      <c r="G579" s="3"/>
    </row>
    <row r="580" spans="3:7" ht="14.85" x14ac:dyDescent="0.25">
      <c r="C580" s="3"/>
      <c r="F580" s="3"/>
      <c r="G580" s="3"/>
    </row>
    <row r="581" spans="3:7" ht="14.85" x14ac:dyDescent="0.25">
      <c r="C581" s="3"/>
      <c r="F581" s="3"/>
      <c r="G581" s="3"/>
    </row>
    <row r="582" spans="3:7" ht="14.85" x14ac:dyDescent="0.25">
      <c r="C582" s="3"/>
      <c r="F582" s="3"/>
      <c r="G582" s="3"/>
    </row>
    <row r="583" spans="3:7" ht="14.85" x14ac:dyDescent="0.25">
      <c r="C583" s="3"/>
      <c r="F583" s="3"/>
      <c r="G583" s="3"/>
    </row>
    <row r="584" spans="3:7" ht="14.85" x14ac:dyDescent="0.25">
      <c r="C584" s="3"/>
      <c r="F584" s="3"/>
      <c r="G584" s="3"/>
    </row>
    <row r="585" spans="3:7" ht="14.85" x14ac:dyDescent="0.25">
      <c r="C585" s="3"/>
      <c r="F585" s="3"/>
      <c r="G585" s="3"/>
    </row>
    <row r="586" spans="3:7" ht="14.85" x14ac:dyDescent="0.25">
      <c r="C586" s="3"/>
      <c r="F586" s="3"/>
      <c r="G586" s="3"/>
    </row>
    <row r="587" spans="3:7" ht="14.85" x14ac:dyDescent="0.25">
      <c r="C587" s="3"/>
      <c r="F587" s="3"/>
      <c r="G587" s="3"/>
    </row>
    <row r="588" spans="3:7" ht="14.85" x14ac:dyDescent="0.25">
      <c r="C588" s="3"/>
      <c r="F588" s="3"/>
      <c r="G588" s="3"/>
    </row>
    <row r="589" spans="3:7" ht="14.85" x14ac:dyDescent="0.25">
      <c r="C589" s="3"/>
      <c r="F589" s="3"/>
      <c r="G589" s="3"/>
    </row>
    <row r="590" spans="3:7" ht="14.85" x14ac:dyDescent="0.25">
      <c r="C590" s="3"/>
      <c r="F590" s="3"/>
      <c r="G590" s="3"/>
    </row>
    <row r="591" spans="3:7" ht="14.85" x14ac:dyDescent="0.25">
      <c r="C591" s="3"/>
      <c r="F591" s="3"/>
      <c r="G591" s="3"/>
    </row>
    <row r="592" spans="3:7" ht="14.85" x14ac:dyDescent="0.25">
      <c r="C592" s="3"/>
      <c r="F592" s="3"/>
      <c r="G592" s="3"/>
    </row>
    <row r="593" spans="3:7" ht="14.85" x14ac:dyDescent="0.25">
      <c r="C593" s="3"/>
      <c r="F593" s="3"/>
      <c r="G593" s="3"/>
    </row>
    <row r="594" spans="3:7" ht="14.85" x14ac:dyDescent="0.25">
      <c r="C594" s="3"/>
      <c r="F594" s="3"/>
      <c r="G594" s="3"/>
    </row>
    <row r="595" spans="3:7" ht="14.85" x14ac:dyDescent="0.25">
      <c r="C595" s="3"/>
      <c r="F595" s="3"/>
      <c r="G595" s="3"/>
    </row>
    <row r="596" spans="3:7" ht="14.85" x14ac:dyDescent="0.25">
      <c r="C596" s="3"/>
      <c r="F596" s="3"/>
      <c r="G596" s="3"/>
    </row>
    <row r="597" spans="3:7" ht="14.85" x14ac:dyDescent="0.25">
      <c r="C597" s="3"/>
      <c r="F597" s="3"/>
      <c r="G597" s="3"/>
    </row>
    <row r="598" spans="3:7" ht="14.85" x14ac:dyDescent="0.25">
      <c r="C598" s="3"/>
      <c r="F598" s="3"/>
      <c r="G598" s="3"/>
    </row>
    <row r="599" spans="3:7" ht="14.85" x14ac:dyDescent="0.25">
      <c r="C599" s="3"/>
      <c r="F599" s="3"/>
      <c r="G599" s="3"/>
    </row>
    <row r="600" spans="3:7" ht="14.85" x14ac:dyDescent="0.25">
      <c r="C600" s="3"/>
      <c r="F600" s="3"/>
      <c r="G600" s="3"/>
    </row>
    <row r="601" spans="3:7" ht="14.85" x14ac:dyDescent="0.25">
      <c r="C601" s="3"/>
      <c r="F601" s="3"/>
      <c r="G601" s="3"/>
    </row>
    <row r="602" spans="3:7" ht="14.85" x14ac:dyDescent="0.25">
      <c r="C602" s="3"/>
      <c r="F602" s="3"/>
      <c r="G602" s="3"/>
    </row>
    <row r="603" spans="3:7" ht="14.85" x14ac:dyDescent="0.25">
      <c r="C603" s="3"/>
      <c r="F603" s="3"/>
      <c r="G603" s="3"/>
    </row>
    <row r="604" spans="3:7" ht="14.85" x14ac:dyDescent="0.25">
      <c r="C604" s="3"/>
      <c r="F604" s="3"/>
      <c r="G604" s="3"/>
    </row>
    <row r="605" spans="3:7" ht="14.85" x14ac:dyDescent="0.25">
      <c r="C605" s="3"/>
      <c r="F605" s="3"/>
      <c r="G605" s="3"/>
    </row>
    <row r="606" spans="3:7" ht="14.85" x14ac:dyDescent="0.25">
      <c r="C606" s="3"/>
      <c r="F606" s="3"/>
      <c r="G606" s="3"/>
    </row>
    <row r="607" spans="3:7" ht="14.85" x14ac:dyDescent="0.25">
      <c r="C607" s="3"/>
      <c r="F607" s="3"/>
      <c r="G607" s="3"/>
    </row>
    <row r="608" spans="3:7" ht="14.85" x14ac:dyDescent="0.25">
      <c r="C608" s="3"/>
      <c r="F608" s="3"/>
      <c r="G608" s="3"/>
    </row>
    <row r="609" spans="3:7" ht="14.85" x14ac:dyDescent="0.25">
      <c r="C609" s="3"/>
      <c r="F609" s="3"/>
      <c r="G609" s="3"/>
    </row>
    <row r="610" spans="3:7" ht="14.85" x14ac:dyDescent="0.25">
      <c r="C610" s="3"/>
      <c r="F610" s="3"/>
      <c r="G610" s="3"/>
    </row>
    <row r="611" spans="3:7" ht="14.85" x14ac:dyDescent="0.25">
      <c r="C611" s="3"/>
      <c r="F611" s="3"/>
      <c r="G611" s="3"/>
    </row>
    <row r="612" spans="3:7" ht="14.85" x14ac:dyDescent="0.25">
      <c r="C612" s="3"/>
      <c r="F612" s="3"/>
      <c r="G612" s="3"/>
    </row>
    <row r="613" spans="3:7" ht="14.85" x14ac:dyDescent="0.25">
      <c r="C613" s="3"/>
      <c r="F613" s="3"/>
      <c r="G613" s="3"/>
    </row>
    <row r="614" spans="3:7" ht="14.85" x14ac:dyDescent="0.25">
      <c r="C614" s="3"/>
      <c r="F614" s="3"/>
      <c r="G614" s="3"/>
    </row>
    <row r="615" spans="3:7" ht="14.85" x14ac:dyDescent="0.25">
      <c r="C615" s="3"/>
      <c r="F615" s="3"/>
      <c r="G615" s="3"/>
    </row>
    <row r="616" spans="3:7" ht="14.85" x14ac:dyDescent="0.25">
      <c r="C616" s="3"/>
      <c r="F616" s="3"/>
      <c r="G616" s="3"/>
    </row>
    <row r="617" spans="3:7" ht="14.85" x14ac:dyDescent="0.25">
      <c r="C617" s="3"/>
      <c r="F617" s="3"/>
      <c r="G617" s="3"/>
    </row>
    <row r="618" spans="3:7" ht="14.85" x14ac:dyDescent="0.25">
      <c r="C618" s="3"/>
      <c r="F618" s="3"/>
      <c r="G618" s="3"/>
    </row>
    <row r="619" spans="3:7" ht="14.85" x14ac:dyDescent="0.25">
      <c r="C619" s="3"/>
      <c r="F619" s="3"/>
      <c r="G619" s="3"/>
    </row>
    <row r="620" spans="3:7" ht="14.85" x14ac:dyDescent="0.25">
      <c r="C620" s="3"/>
      <c r="F620" s="3"/>
      <c r="G620" s="3"/>
    </row>
    <row r="621" spans="3:7" ht="14.85" x14ac:dyDescent="0.25">
      <c r="C621" s="3"/>
      <c r="F621" s="3"/>
      <c r="G621" s="3"/>
    </row>
    <row r="622" spans="3:7" ht="14.85" x14ac:dyDescent="0.25">
      <c r="C622" s="3"/>
      <c r="F622" s="3"/>
      <c r="G622" s="3"/>
    </row>
    <row r="623" spans="3:7" ht="14.85" x14ac:dyDescent="0.25">
      <c r="C623" s="3"/>
      <c r="F623" s="3"/>
      <c r="G623" s="3"/>
    </row>
    <row r="624" spans="3:7" ht="14.85" x14ac:dyDescent="0.25">
      <c r="C624" s="3"/>
      <c r="F624" s="3"/>
      <c r="G624" s="3"/>
    </row>
    <row r="625" spans="3:7" ht="14.85" x14ac:dyDescent="0.25">
      <c r="C625" s="3"/>
      <c r="F625" s="3"/>
      <c r="G625" s="3"/>
    </row>
    <row r="626" spans="3:7" ht="14.85" x14ac:dyDescent="0.25">
      <c r="C626" s="3"/>
      <c r="F626" s="3"/>
      <c r="G626" s="3"/>
    </row>
    <row r="627" spans="3:7" ht="14.85" x14ac:dyDescent="0.25">
      <c r="C627" s="3"/>
      <c r="F627" s="3"/>
      <c r="G627" s="3"/>
    </row>
    <row r="628" spans="3:7" ht="14.85" x14ac:dyDescent="0.25">
      <c r="C628" s="3"/>
      <c r="F628" s="3"/>
      <c r="G628" s="3"/>
    </row>
    <row r="629" spans="3:7" ht="14.85" x14ac:dyDescent="0.25">
      <c r="C629" s="3"/>
      <c r="F629" s="3"/>
      <c r="G629" s="3"/>
    </row>
    <row r="630" spans="3:7" ht="14.85" x14ac:dyDescent="0.25">
      <c r="C630" s="3"/>
      <c r="F630" s="3"/>
      <c r="G630" s="3"/>
    </row>
    <row r="631" spans="3:7" ht="14.85" x14ac:dyDescent="0.25">
      <c r="C631" s="3"/>
      <c r="F631" s="3"/>
      <c r="G631" s="3"/>
    </row>
    <row r="632" spans="3:7" ht="14.85" x14ac:dyDescent="0.25">
      <c r="C632" s="3"/>
      <c r="F632" s="3"/>
      <c r="G632" s="3"/>
    </row>
    <row r="633" spans="3:7" ht="14.85" x14ac:dyDescent="0.25">
      <c r="C633" s="3"/>
      <c r="F633" s="3"/>
      <c r="G633" s="3"/>
    </row>
    <row r="634" spans="3:7" ht="14.85" x14ac:dyDescent="0.25">
      <c r="C634" s="3"/>
      <c r="F634" s="3"/>
      <c r="G634" s="3"/>
    </row>
    <row r="635" spans="3:7" ht="14.85" x14ac:dyDescent="0.25">
      <c r="C635" s="3"/>
      <c r="F635" s="3"/>
      <c r="G635" s="3"/>
    </row>
    <row r="636" spans="3:7" ht="14.85" x14ac:dyDescent="0.25">
      <c r="C636" s="3"/>
      <c r="F636" s="3"/>
      <c r="G636" s="3"/>
    </row>
    <row r="637" spans="3:7" ht="14.85" x14ac:dyDescent="0.25">
      <c r="C637" s="3"/>
      <c r="F637" s="3"/>
      <c r="G637" s="3"/>
    </row>
    <row r="638" spans="3:7" ht="14.85" x14ac:dyDescent="0.25">
      <c r="C638" s="3"/>
      <c r="F638" s="3"/>
      <c r="G638" s="3"/>
    </row>
    <row r="639" spans="3:7" ht="14.85" x14ac:dyDescent="0.25">
      <c r="C639" s="3"/>
      <c r="F639" s="3"/>
      <c r="G639" s="3"/>
    </row>
    <row r="640" spans="3:7" ht="14.85" x14ac:dyDescent="0.25">
      <c r="C640" s="3"/>
      <c r="F640" s="3"/>
      <c r="G640" s="3"/>
    </row>
    <row r="641" spans="3:7" ht="14.85" x14ac:dyDescent="0.25">
      <c r="C641" s="3"/>
      <c r="F641" s="3"/>
      <c r="G641" s="3"/>
    </row>
    <row r="642" spans="3:7" ht="14.85" x14ac:dyDescent="0.25">
      <c r="C642" s="3"/>
      <c r="F642" s="3"/>
      <c r="G642" s="3"/>
    </row>
    <row r="643" spans="3:7" ht="14.85" x14ac:dyDescent="0.25">
      <c r="C643" s="3"/>
      <c r="F643" s="3"/>
      <c r="G643" s="3"/>
    </row>
    <row r="644" spans="3:7" ht="14.85" x14ac:dyDescent="0.25">
      <c r="C644" s="3"/>
      <c r="F644" s="3"/>
      <c r="G644" s="3"/>
    </row>
    <row r="645" spans="3:7" ht="14.85" x14ac:dyDescent="0.25">
      <c r="C645" s="3"/>
      <c r="F645" s="3"/>
      <c r="G645" s="3"/>
    </row>
    <row r="646" spans="3:7" ht="14.85" x14ac:dyDescent="0.25">
      <c r="C646" s="3"/>
      <c r="F646" s="3"/>
      <c r="G646" s="3"/>
    </row>
    <row r="647" spans="3:7" ht="14.85" x14ac:dyDescent="0.25">
      <c r="C647" s="3"/>
      <c r="F647" s="3"/>
      <c r="G647" s="3"/>
    </row>
    <row r="648" spans="3:7" ht="14.85" x14ac:dyDescent="0.25">
      <c r="C648" s="3"/>
      <c r="F648" s="3"/>
      <c r="G648" s="3"/>
    </row>
    <row r="649" spans="3:7" ht="14.85" x14ac:dyDescent="0.25">
      <c r="C649" s="3"/>
      <c r="F649" s="3"/>
      <c r="G649" s="3"/>
    </row>
    <row r="650" spans="3:7" ht="14.85" x14ac:dyDescent="0.25">
      <c r="C650" s="3"/>
      <c r="F650" s="3"/>
      <c r="G650" s="3"/>
    </row>
    <row r="651" spans="3:7" ht="14.85" x14ac:dyDescent="0.25">
      <c r="C651" s="3"/>
      <c r="F651" s="3"/>
      <c r="G651" s="3"/>
    </row>
    <row r="652" spans="3:7" ht="14.85" x14ac:dyDescent="0.25">
      <c r="C652" s="3"/>
      <c r="F652" s="3"/>
      <c r="G652" s="3"/>
    </row>
    <row r="653" spans="3:7" ht="14.85" x14ac:dyDescent="0.25">
      <c r="C653" s="3"/>
      <c r="F653" s="3"/>
      <c r="G653" s="3"/>
    </row>
    <row r="654" spans="3:7" ht="14.85" x14ac:dyDescent="0.25">
      <c r="C654" s="3"/>
      <c r="F654" s="3"/>
      <c r="G654" s="3"/>
    </row>
    <row r="655" spans="3:7" ht="14.85" x14ac:dyDescent="0.25">
      <c r="C655" s="3"/>
      <c r="F655" s="3"/>
      <c r="G655" s="3"/>
    </row>
    <row r="656" spans="3:7" ht="14.85" x14ac:dyDescent="0.25">
      <c r="C656" s="3"/>
      <c r="F656" s="3"/>
      <c r="G656" s="3"/>
    </row>
    <row r="657" spans="3:7" ht="14.85" x14ac:dyDescent="0.25">
      <c r="C657" s="3"/>
      <c r="F657" s="3"/>
      <c r="G657" s="3"/>
    </row>
    <row r="658" spans="3:7" ht="14.85" x14ac:dyDescent="0.25">
      <c r="C658" s="3"/>
      <c r="F658" s="3"/>
      <c r="G658" s="3"/>
    </row>
    <row r="659" spans="3:7" ht="14.85" x14ac:dyDescent="0.25">
      <c r="C659" s="3"/>
      <c r="F659" s="3"/>
      <c r="G659" s="3"/>
    </row>
    <row r="660" spans="3:7" ht="14.85" x14ac:dyDescent="0.25">
      <c r="C660" s="3"/>
      <c r="F660" s="3"/>
      <c r="G660" s="3"/>
    </row>
    <row r="661" spans="3:7" ht="14.85" x14ac:dyDescent="0.25">
      <c r="C661" s="3"/>
      <c r="F661" s="3"/>
      <c r="G661" s="3"/>
    </row>
    <row r="662" spans="3:7" ht="14.85" x14ac:dyDescent="0.25">
      <c r="C662" s="3"/>
      <c r="F662" s="3"/>
      <c r="G662" s="3"/>
    </row>
    <row r="663" spans="3:7" ht="14.85" x14ac:dyDescent="0.25">
      <c r="C663" s="3"/>
      <c r="F663" s="3"/>
      <c r="G663" s="3"/>
    </row>
    <row r="664" spans="3:7" ht="14.85" x14ac:dyDescent="0.25">
      <c r="C664" s="3"/>
      <c r="F664" s="3"/>
      <c r="G664" s="3"/>
    </row>
    <row r="665" spans="3:7" ht="14.85" x14ac:dyDescent="0.25">
      <c r="C665" s="3"/>
      <c r="F665" s="3"/>
      <c r="G665" s="3"/>
    </row>
    <row r="666" spans="3:7" ht="14.85" x14ac:dyDescent="0.25">
      <c r="C666" s="3"/>
      <c r="F666" s="3"/>
      <c r="G666" s="3"/>
    </row>
    <row r="667" spans="3:7" ht="14.85" x14ac:dyDescent="0.25">
      <c r="C667" s="3"/>
      <c r="F667" s="3"/>
      <c r="G667" s="3"/>
    </row>
    <row r="668" spans="3:7" ht="14.85" x14ac:dyDescent="0.25">
      <c r="C668" s="3"/>
      <c r="F668" s="3"/>
      <c r="G668" s="3"/>
    </row>
    <row r="669" spans="3:7" ht="14.85" x14ac:dyDescent="0.25">
      <c r="C669" s="3"/>
      <c r="F669" s="3"/>
      <c r="G669" s="3"/>
    </row>
    <row r="670" spans="3:7" ht="14.85" x14ac:dyDescent="0.25">
      <c r="C670" s="3"/>
      <c r="F670" s="3"/>
      <c r="G670" s="3"/>
    </row>
    <row r="671" spans="3:7" ht="14.85" x14ac:dyDescent="0.25">
      <c r="C671" s="3"/>
      <c r="F671" s="3"/>
      <c r="G671" s="3"/>
    </row>
    <row r="672" spans="3:7" ht="14.85" x14ac:dyDescent="0.25">
      <c r="C672" s="3"/>
      <c r="F672" s="3"/>
      <c r="G672" s="3"/>
    </row>
    <row r="673" spans="3:7" ht="14.85" x14ac:dyDescent="0.25">
      <c r="C673" s="3"/>
      <c r="F673" s="3"/>
      <c r="G673" s="3"/>
    </row>
    <row r="674" spans="3:7" ht="14.85" x14ac:dyDescent="0.25">
      <c r="C674" s="3"/>
      <c r="F674" s="3"/>
      <c r="G674" s="3"/>
    </row>
    <row r="675" spans="3:7" ht="14.85" x14ac:dyDescent="0.25">
      <c r="C675" s="3"/>
      <c r="F675" s="3"/>
      <c r="G675" s="3"/>
    </row>
    <row r="676" spans="3:7" ht="14.85" x14ac:dyDescent="0.25">
      <c r="C676" s="3"/>
      <c r="F676" s="3"/>
      <c r="G676" s="3"/>
    </row>
    <row r="677" spans="3:7" ht="14.85" x14ac:dyDescent="0.25">
      <c r="C677" s="3"/>
      <c r="F677" s="3"/>
      <c r="G677" s="3"/>
    </row>
    <row r="678" spans="3:7" ht="14.85" x14ac:dyDescent="0.25">
      <c r="C678" s="3"/>
      <c r="F678" s="3"/>
      <c r="G678" s="3"/>
    </row>
    <row r="679" spans="3:7" ht="14.85" x14ac:dyDescent="0.25">
      <c r="C679" s="3"/>
      <c r="F679" s="3"/>
      <c r="G679" s="3"/>
    </row>
    <row r="680" spans="3:7" ht="14.85" x14ac:dyDescent="0.25">
      <c r="C680" s="3"/>
      <c r="F680" s="3"/>
      <c r="G680" s="3"/>
    </row>
    <row r="681" spans="3:7" ht="14.85" x14ac:dyDescent="0.25">
      <c r="C681" s="3"/>
      <c r="F681" s="3"/>
      <c r="G681" s="3"/>
    </row>
    <row r="682" spans="3:7" ht="14.85" x14ac:dyDescent="0.25">
      <c r="C682" s="3"/>
      <c r="F682" s="3"/>
      <c r="G682" s="3"/>
    </row>
    <row r="683" spans="3:7" ht="14.85" x14ac:dyDescent="0.25">
      <c r="C683" s="3"/>
      <c r="F683" s="3"/>
      <c r="G683" s="3"/>
    </row>
    <row r="684" spans="3:7" ht="14.85" x14ac:dyDescent="0.25">
      <c r="C684" s="3"/>
      <c r="F684" s="3"/>
      <c r="G684" s="3"/>
    </row>
    <row r="685" spans="3:7" ht="14.85" x14ac:dyDescent="0.25">
      <c r="C685" s="3"/>
      <c r="F685" s="3"/>
      <c r="G685" s="3"/>
    </row>
    <row r="686" spans="3:7" ht="14.85" x14ac:dyDescent="0.25">
      <c r="C686" s="3"/>
      <c r="F686" s="3"/>
      <c r="G686" s="3"/>
    </row>
    <row r="687" spans="3:7" ht="14.85" x14ac:dyDescent="0.25">
      <c r="C687" s="3"/>
      <c r="F687" s="3"/>
      <c r="G687" s="3"/>
    </row>
    <row r="688" spans="3:7" ht="14.85" x14ac:dyDescent="0.25">
      <c r="C688" s="3"/>
      <c r="F688" s="3"/>
      <c r="G688" s="3"/>
    </row>
    <row r="689" spans="3:7" ht="14.85" x14ac:dyDescent="0.25">
      <c r="C689" s="3"/>
      <c r="F689" s="3"/>
      <c r="G689" s="3"/>
    </row>
    <row r="690" spans="3:7" ht="14.85" x14ac:dyDescent="0.25">
      <c r="C690" s="3"/>
      <c r="F690" s="3"/>
      <c r="G690" s="3"/>
    </row>
    <row r="691" spans="3:7" ht="14.85" x14ac:dyDescent="0.25">
      <c r="C691" s="3"/>
      <c r="F691" s="3"/>
      <c r="G691" s="3"/>
    </row>
    <row r="692" spans="3:7" ht="14.85" x14ac:dyDescent="0.25">
      <c r="C692" s="3"/>
      <c r="F692" s="3"/>
      <c r="G692" s="3"/>
    </row>
    <row r="693" spans="3:7" ht="14.85" x14ac:dyDescent="0.25">
      <c r="C693" s="3"/>
      <c r="F693" s="3"/>
      <c r="G693" s="3"/>
    </row>
    <row r="694" spans="3:7" ht="14.85" x14ac:dyDescent="0.25">
      <c r="C694" s="3"/>
      <c r="F694" s="3"/>
      <c r="G694" s="3"/>
    </row>
    <row r="695" spans="3:7" ht="14.85" x14ac:dyDescent="0.25">
      <c r="C695" s="3"/>
      <c r="F695" s="3"/>
      <c r="G695" s="3"/>
    </row>
    <row r="696" spans="3:7" ht="14.85" x14ac:dyDescent="0.25">
      <c r="C696" s="3"/>
      <c r="F696" s="3"/>
      <c r="G696" s="3"/>
    </row>
    <row r="697" spans="3:7" ht="14.85" x14ac:dyDescent="0.25">
      <c r="C697" s="3"/>
      <c r="F697" s="3"/>
      <c r="G697" s="3"/>
    </row>
    <row r="698" spans="3:7" ht="14.85" x14ac:dyDescent="0.25">
      <c r="C698" s="3"/>
      <c r="F698" s="3"/>
      <c r="G698" s="3"/>
    </row>
    <row r="699" spans="3:7" ht="14.85" x14ac:dyDescent="0.25">
      <c r="C699" s="3"/>
      <c r="F699" s="3"/>
      <c r="G699" s="3"/>
    </row>
    <row r="700" spans="3:7" ht="14.85" x14ac:dyDescent="0.25">
      <c r="C700" s="3"/>
      <c r="F700" s="3"/>
      <c r="G700" s="3"/>
    </row>
    <row r="701" spans="3:7" ht="14.85" x14ac:dyDescent="0.25">
      <c r="C701" s="3"/>
      <c r="F701" s="3"/>
      <c r="G701" s="3"/>
    </row>
    <row r="702" spans="3:7" ht="14.85" x14ac:dyDescent="0.25">
      <c r="C702" s="3"/>
      <c r="F702" s="3"/>
      <c r="G702" s="3"/>
    </row>
    <row r="703" spans="3:7" ht="14.85" x14ac:dyDescent="0.25">
      <c r="C703" s="3"/>
      <c r="F703" s="3"/>
      <c r="G703" s="3"/>
    </row>
    <row r="704" spans="3:7" ht="14.85" x14ac:dyDescent="0.25">
      <c r="C704" s="3"/>
      <c r="F704" s="3"/>
      <c r="G704" s="3"/>
    </row>
    <row r="705" spans="3:7" ht="14.85" x14ac:dyDescent="0.25">
      <c r="C705" s="3"/>
      <c r="F705" s="3"/>
      <c r="G705" s="3"/>
    </row>
    <row r="706" spans="3:7" ht="14.85" x14ac:dyDescent="0.25">
      <c r="C706" s="3"/>
      <c r="F706" s="3"/>
      <c r="G706" s="3"/>
    </row>
    <row r="707" spans="3:7" ht="14.85" x14ac:dyDescent="0.25">
      <c r="C707" s="3"/>
      <c r="F707" s="3"/>
      <c r="G707" s="3"/>
    </row>
    <row r="708" spans="3:7" ht="14.85" x14ac:dyDescent="0.25">
      <c r="C708" s="3"/>
      <c r="F708" s="3"/>
      <c r="G708" s="3"/>
    </row>
    <row r="709" spans="3:7" ht="14.85" x14ac:dyDescent="0.25">
      <c r="C709" s="3"/>
      <c r="F709" s="3"/>
      <c r="G709" s="3"/>
    </row>
    <row r="710" spans="3:7" ht="14.85" x14ac:dyDescent="0.25">
      <c r="C710" s="3"/>
      <c r="F710" s="3"/>
      <c r="G710" s="3"/>
    </row>
    <row r="711" spans="3:7" ht="14.85" x14ac:dyDescent="0.25">
      <c r="C711" s="3"/>
      <c r="F711" s="3"/>
      <c r="G711" s="3"/>
    </row>
    <row r="712" spans="3:7" ht="14.85" x14ac:dyDescent="0.25">
      <c r="C712" s="3"/>
      <c r="F712" s="3"/>
      <c r="G712" s="3"/>
    </row>
    <row r="713" spans="3:7" ht="14.85" x14ac:dyDescent="0.25">
      <c r="C713" s="3"/>
      <c r="F713" s="3"/>
      <c r="G713" s="3"/>
    </row>
    <row r="714" spans="3:7" ht="14.85" x14ac:dyDescent="0.25">
      <c r="C714" s="3"/>
      <c r="F714" s="3"/>
      <c r="G714" s="3"/>
    </row>
    <row r="715" spans="3:7" ht="14.85" x14ac:dyDescent="0.25">
      <c r="C715" s="3"/>
      <c r="F715" s="3"/>
      <c r="G715" s="3"/>
    </row>
    <row r="716" spans="3:7" ht="14.85" x14ac:dyDescent="0.25">
      <c r="C716" s="3"/>
      <c r="F716" s="3"/>
      <c r="G716" s="3"/>
    </row>
    <row r="717" spans="3:7" ht="14.85" x14ac:dyDescent="0.25">
      <c r="C717" s="3"/>
      <c r="F717" s="3"/>
      <c r="G717" s="3"/>
    </row>
    <row r="718" spans="3:7" ht="14.85" x14ac:dyDescent="0.25">
      <c r="C718" s="3"/>
      <c r="F718" s="3"/>
      <c r="G718" s="3"/>
    </row>
    <row r="719" spans="3:7" ht="14.85" x14ac:dyDescent="0.25">
      <c r="C719" s="3"/>
      <c r="F719" s="3"/>
      <c r="G719" s="3"/>
    </row>
    <row r="720" spans="3:7" ht="14.85" x14ac:dyDescent="0.25">
      <c r="C720" s="3"/>
      <c r="F720" s="3"/>
      <c r="G720" s="3"/>
    </row>
    <row r="721" spans="3:7" ht="14.85" x14ac:dyDescent="0.25">
      <c r="C721" s="3"/>
      <c r="F721" s="3"/>
      <c r="G721" s="3"/>
    </row>
    <row r="722" spans="3:7" ht="14.85" x14ac:dyDescent="0.25">
      <c r="C722" s="3"/>
      <c r="F722" s="3"/>
      <c r="G722" s="3"/>
    </row>
    <row r="723" spans="3:7" ht="14.85" x14ac:dyDescent="0.25">
      <c r="C723" s="3"/>
      <c r="F723" s="3"/>
      <c r="G723" s="3"/>
    </row>
    <row r="724" spans="3:7" ht="14.85" x14ac:dyDescent="0.25">
      <c r="C724" s="3"/>
      <c r="F724" s="3"/>
      <c r="G724" s="3"/>
    </row>
    <row r="725" spans="3:7" ht="14.85" x14ac:dyDescent="0.25">
      <c r="C725" s="3"/>
      <c r="F725" s="3"/>
      <c r="G725" s="3"/>
    </row>
    <row r="726" spans="3:7" ht="14.85" x14ac:dyDescent="0.25">
      <c r="C726" s="3"/>
      <c r="F726" s="3"/>
      <c r="G726" s="3"/>
    </row>
    <row r="727" spans="3:7" ht="14.85" x14ac:dyDescent="0.25">
      <c r="C727" s="3"/>
      <c r="F727" s="3"/>
      <c r="G727" s="3"/>
    </row>
    <row r="728" spans="3:7" ht="14.85" x14ac:dyDescent="0.25">
      <c r="C728" s="3"/>
      <c r="F728" s="3"/>
      <c r="G728" s="3"/>
    </row>
    <row r="729" spans="3:7" ht="14.85" x14ac:dyDescent="0.25">
      <c r="C729" s="3"/>
      <c r="F729" s="3"/>
      <c r="G729" s="3"/>
    </row>
    <row r="730" spans="3:7" ht="14.85" x14ac:dyDescent="0.25">
      <c r="C730" s="3"/>
      <c r="F730" s="3"/>
      <c r="G730" s="3"/>
    </row>
    <row r="731" spans="3:7" ht="14.85" x14ac:dyDescent="0.25">
      <c r="C731" s="3"/>
      <c r="F731" s="3"/>
      <c r="G731" s="3"/>
    </row>
    <row r="732" spans="3:7" ht="14.85" x14ac:dyDescent="0.25">
      <c r="C732" s="3"/>
      <c r="F732" s="3"/>
      <c r="G732" s="3"/>
    </row>
    <row r="733" spans="3:7" ht="14.85" x14ac:dyDescent="0.25">
      <c r="C733" s="3"/>
      <c r="F733" s="3"/>
      <c r="G733" s="3"/>
    </row>
    <row r="734" spans="3:7" ht="14.85" x14ac:dyDescent="0.25">
      <c r="C734" s="3"/>
      <c r="F734" s="3"/>
      <c r="G734" s="3"/>
    </row>
    <row r="735" spans="3:7" ht="14.85" x14ac:dyDescent="0.25">
      <c r="C735" s="3"/>
      <c r="F735" s="3"/>
      <c r="G735" s="3"/>
    </row>
    <row r="736" spans="3:7" ht="14.85" x14ac:dyDescent="0.25">
      <c r="C736" s="3"/>
      <c r="F736" s="3"/>
      <c r="G736" s="3"/>
    </row>
    <row r="737" spans="3:7" ht="14.85" x14ac:dyDescent="0.25">
      <c r="C737" s="3"/>
      <c r="F737" s="3"/>
      <c r="G737" s="3"/>
    </row>
    <row r="738" spans="3:7" ht="14.85" x14ac:dyDescent="0.25">
      <c r="C738" s="3"/>
      <c r="F738" s="3"/>
      <c r="G738" s="3"/>
    </row>
    <row r="739" spans="3:7" ht="14.85" x14ac:dyDescent="0.25">
      <c r="C739" s="3"/>
      <c r="F739" s="3"/>
      <c r="G739" s="3"/>
    </row>
    <row r="740" spans="3:7" ht="14.85" x14ac:dyDescent="0.25">
      <c r="C740" s="3"/>
      <c r="F740" s="3"/>
      <c r="G740" s="3"/>
    </row>
    <row r="741" spans="3:7" ht="14.85" x14ac:dyDescent="0.25">
      <c r="C741" s="3"/>
      <c r="F741" s="3"/>
      <c r="G741" s="3"/>
    </row>
    <row r="742" spans="3:7" ht="14.85" x14ac:dyDescent="0.25">
      <c r="C742" s="3"/>
      <c r="F742" s="3"/>
      <c r="G742" s="3"/>
    </row>
    <row r="743" spans="3:7" ht="14.85" x14ac:dyDescent="0.25">
      <c r="C743" s="3"/>
      <c r="F743" s="3"/>
      <c r="G743" s="3"/>
    </row>
    <row r="744" spans="3:7" ht="14.85" x14ac:dyDescent="0.25">
      <c r="C744" s="3"/>
      <c r="F744" s="3"/>
      <c r="G744" s="3"/>
    </row>
    <row r="745" spans="3:7" ht="14.85" x14ac:dyDescent="0.25">
      <c r="C745" s="3"/>
      <c r="F745" s="3"/>
      <c r="G745" s="3"/>
    </row>
    <row r="746" spans="3:7" ht="14.85" x14ac:dyDescent="0.25">
      <c r="C746" s="3"/>
      <c r="F746" s="3"/>
      <c r="G746" s="3"/>
    </row>
    <row r="747" spans="3:7" ht="14.85" x14ac:dyDescent="0.25">
      <c r="C747" s="3"/>
      <c r="F747" s="3"/>
      <c r="G747" s="3"/>
    </row>
    <row r="748" spans="3:7" ht="14.85" x14ac:dyDescent="0.25">
      <c r="C748" s="3"/>
      <c r="F748" s="3"/>
      <c r="G748" s="3"/>
    </row>
    <row r="749" spans="3:7" ht="14.85" x14ac:dyDescent="0.25">
      <c r="C749" s="3"/>
      <c r="F749" s="3"/>
      <c r="G749" s="3"/>
    </row>
    <row r="750" spans="3:7" ht="14.85" x14ac:dyDescent="0.25">
      <c r="C750" s="3"/>
      <c r="F750" s="3"/>
      <c r="G750" s="3"/>
    </row>
    <row r="751" spans="3:7" ht="14.85" x14ac:dyDescent="0.25">
      <c r="C751" s="3"/>
      <c r="F751" s="3"/>
      <c r="G751" s="3"/>
    </row>
    <row r="752" spans="3:7" ht="14.85" x14ac:dyDescent="0.25">
      <c r="C752" s="3"/>
      <c r="F752" s="3"/>
      <c r="G752" s="3"/>
    </row>
    <row r="753" spans="3:7" ht="14.85" x14ac:dyDescent="0.25">
      <c r="C753" s="3"/>
      <c r="F753" s="3"/>
      <c r="G753" s="3"/>
    </row>
    <row r="754" spans="3:7" ht="14.85" x14ac:dyDescent="0.25">
      <c r="C754" s="3"/>
      <c r="F754" s="3"/>
      <c r="G754" s="3"/>
    </row>
    <row r="755" spans="3:7" ht="14.85" x14ac:dyDescent="0.25">
      <c r="C755" s="3"/>
      <c r="F755" s="3"/>
      <c r="G755" s="3"/>
    </row>
    <row r="756" spans="3:7" ht="14.85" x14ac:dyDescent="0.25">
      <c r="C756" s="3"/>
      <c r="F756" s="3"/>
      <c r="G756" s="3"/>
    </row>
    <row r="757" spans="3:7" ht="14.85" x14ac:dyDescent="0.25">
      <c r="C757" s="3"/>
      <c r="F757" s="3"/>
      <c r="G757" s="3"/>
    </row>
    <row r="758" spans="3:7" ht="14.85" x14ac:dyDescent="0.25">
      <c r="C758" s="3"/>
      <c r="F758" s="3"/>
      <c r="G758" s="3"/>
    </row>
    <row r="759" spans="3:7" ht="14.85" x14ac:dyDescent="0.25">
      <c r="C759" s="3"/>
      <c r="F759" s="3"/>
      <c r="G759" s="3"/>
    </row>
    <row r="760" spans="3:7" ht="14.85" x14ac:dyDescent="0.25">
      <c r="C760" s="3"/>
      <c r="F760" s="3"/>
      <c r="G760" s="3"/>
    </row>
    <row r="761" spans="3:7" ht="14.85" x14ac:dyDescent="0.25">
      <c r="C761" s="3"/>
      <c r="F761" s="3"/>
      <c r="G761" s="3"/>
    </row>
    <row r="762" spans="3:7" ht="14.85" x14ac:dyDescent="0.25">
      <c r="C762" s="3"/>
      <c r="F762" s="3"/>
      <c r="G762" s="3"/>
    </row>
    <row r="763" spans="3:7" ht="14.85" x14ac:dyDescent="0.25">
      <c r="C763" s="3"/>
      <c r="F763" s="3"/>
      <c r="G763" s="3"/>
    </row>
    <row r="764" spans="3:7" ht="14.85" x14ac:dyDescent="0.25">
      <c r="C764" s="3"/>
      <c r="F764" s="3"/>
      <c r="G764" s="3"/>
    </row>
    <row r="765" spans="3:7" ht="14.85" x14ac:dyDescent="0.25">
      <c r="C765" s="3"/>
      <c r="F765" s="3"/>
      <c r="G765" s="3"/>
    </row>
    <row r="766" spans="3:7" ht="14.85" x14ac:dyDescent="0.25">
      <c r="C766" s="3"/>
      <c r="F766" s="3"/>
      <c r="G766" s="3"/>
    </row>
    <row r="767" spans="3:7" ht="14.85" x14ac:dyDescent="0.25">
      <c r="C767" s="3"/>
      <c r="F767" s="3"/>
      <c r="G767" s="3"/>
    </row>
    <row r="768" spans="3:7" ht="14.85" x14ac:dyDescent="0.25">
      <c r="C768" s="3"/>
      <c r="F768" s="3"/>
      <c r="G768" s="3"/>
    </row>
    <row r="769" spans="3:7" ht="14.85" x14ac:dyDescent="0.25">
      <c r="C769" s="3"/>
      <c r="F769" s="3"/>
      <c r="G769" s="3"/>
    </row>
    <row r="770" spans="3:7" ht="14.85" x14ac:dyDescent="0.25">
      <c r="C770" s="3"/>
      <c r="F770" s="3"/>
      <c r="G770" s="3"/>
    </row>
    <row r="771" spans="3:7" ht="14.85" x14ac:dyDescent="0.25">
      <c r="C771" s="3"/>
      <c r="F771" s="3"/>
      <c r="G771" s="3"/>
    </row>
    <row r="772" spans="3:7" ht="14.85" x14ac:dyDescent="0.25">
      <c r="C772" s="3"/>
      <c r="F772" s="3"/>
      <c r="G772" s="3"/>
    </row>
    <row r="773" spans="3:7" ht="14.85" x14ac:dyDescent="0.25">
      <c r="C773" s="3"/>
      <c r="F773" s="3"/>
      <c r="G773" s="3"/>
    </row>
    <row r="774" spans="3:7" ht="14.85" x14ac:dyDescent="0.25">
      <c r="C774" s="3"/>
      <c r="F774" s="3"/>
      <c r="G774" s="3"/>
    </row>
    <row r="775" spans="3:7" ht="14.85" x14ac:dyDescent="0.25">
      <c r="C775" s="3"/>
      <c r="F775" s="3"/>
      <c r="G775" s="3"/>
    </row>
    <row r="776" spans="3:7" ht="14.85" x14ac:dyDescent="0.25">
      <c r="C776" s="3"/>
      <c r="F776" s="3"/>
      <c r="G776" s="3"/>
    </row>
    <row r="777" spans="3:7" ht="14.85" x14ac:dyDescent="0.25">
      <c r="C777" s="3"/>
      <c r="F777" s="3"/>
      <c r="G777" s="3"/>
    </row>
    <row r="778" spans="3:7" ht="14.85" x14ac:dyDescent="0.25">
      <c r="C778" s="3"/>
      <c r="F778" s="3"/>
      <c r="G778" s="3"/>
    </row>
    <row r="779" spans="3:7" ht="14.85" x14ac:dyDescent="0.25">
      <c r="C779" s="3"/>
      <c r="F779" s="3"/>
      <c r="G779" s="3"/>
    </row>
    <row r="780" spans="3:7" ht="14.85" x14ac:dyDescent="0.25">
      <c r="C780" s="3"/>
      <c r="F780" s="3"/>
      <c r="G780" s="3"/>
    </row>
    <row r="781" spans="3:7" ht="14.85" x14ac:dyDescent="0.25">
      <c r="C781" s="3"/>
      <c r="F781" s="3"/>
      <c r="G781" s="3"/>
    </row>
    <row r="782" spans="3:7" ht="14.85" x14ac:dyDescent="0.25">
      <c r="C782" s="3"/>
      <c r="F782" s="3"/>
      <c r="G782" s="3"/>
    </row>
    <row r="783" spans="3:7" ht="14.85" x14ac:dyDescent="0.25">
      <c r="C783" s="3"/>
      <c r="F783" s="3"/>
      <c r="G783" s="3"/>
    </row>
    <row r="784" spans="3:7" ht="14.85" x14ac:dyDescent="0.25">
      <c r="C784" s="3"/>
      <c r="F784" s="3"/>
      <c r="G784" s="3"/>
    </row>
    <row r="785" spans="3:7" ht="14.85" x14ac:dyDescent="0.25">
      <c r="C785" s="3"/>
      <c r="F785" s="3"/>
      <c r="G785" s="3"/>
    </row>
    <row r="786" spans="3:7" ht="14.85" x14ac:dyDescent="0.25">
      <c r="C786" s="3"/>
      <c r="F786" s="3"/>
      <c r="G786" s="3"/>
    </row>
    <row r="787" spans="3:7" ht="14.85" x14ac:dyDescent="0.25">
      <c r="C787" s="3"/>
      <c r="F787" s="3"/>
      <c r="G787" s="3"/>
    </row>
    <row r="788" spans="3:7" ht="14.85" x14ac:dyDescent="0.25">
      <c r="C788" s="3"/>
      <c r="F788" s="3"/>
      <c r="G788" s="3"/>
    </row>
    <row r="789" spans="3:7" ht="14.85" x14ac:dyDescent="0.25">
      <c r="C789" s="3"/>
      <c r="F789" s="3"/>
      <c r="G789" s="3"/>
    </row>
    <row r="790" spans="3:7" ht="14.85" x14ac:dyDescent="0.25">
      <c r="C790" s="3"/>
      <c r="F790" s="3"/>
      <c r="G790" s="3"/>
    </row>
    <row r="791" spans="3:7" ht="14.85" x14ac:dyDescent="0.25">
      <c r="C791" s="3"/>
      <c r="F791" s="3"/>
      <c r="G791" s="3"/>
    </row>
    <row r="792" spans="3:7" ht="14.85" x14ac:dyDescent="0.25">
      <c r="C792" s="3"/>
      <c r="F792" s="3"/>
      <c r="G792" s="3"/>
    </row>
    <row r="793" spans="3:7" ht="14.85" x14ac:dyDescent="0.25">
      <c r="C793" s="3"/>
      <c r="F793" s="3"/>
      <c r="G793" s="3"/>
    </row>
    <row r="794" spans="3:7" ht="14.85" x14ac:dyDescent="0.25">
      <c r="C794" s="3"/>
      <c r="F794" s="3"/>
      <c r="G794" s="3"/>
    </row>
    <row r="795" spans="3:7" ht="14.85" x14ac:dyDescent="0.25">
      <c r="C795" s="3"/>
      <c r="F795" s="3"/>
      <c r="G795" s="3"/>
    </row>
    <row r="796" spans="3:7" ht="14.85" x14ac:dyDescent="0.25">
      <c r="C796" s="3"/>
      <c r="F796" s="3"/>
      <c r="G796" s="3"/>
    </row>
    <row r="797" spans="3:7" ht="14.85" x14ac:dyDescent="0.25">
      <c r="C797" s="3"/>
      <c r="F797" s="3"/>
      <c r="G797" s="3"/>
    </row>
    <row r="798" spans="3:7" ht="14.85" x14ac:dyDescent="0.25">
      <c r="C798" s="3"/>
      <c r="F798" s="3"/>
      <c r="G798" s="3"/>
    </row>
    <row r="799" spans="3:7" ht="14.85" x14ac:dyDescent="0.25">
      <c r="C799" s="3"/>
      <c r="F799" s="3"/>
      <c r="G799" s="3"/>
    </row>
    <row r="800" spans="3:7" ht="14.85" x14ac:dyDescent="0.25">
      <c r="C800" s="3"/>
      <c r="F800" s="3"/>
      <c r="G800" s="3"/>
    </row>
    <row r="801" spans="3:7" ht="14.85" x14ac:dyDescent="0.25">
      <c r="C801" s="3"/>
      <c r="F801" s="3"/>
      <c r="G801" s="3"/>
    </row>
    <row r="802" spans="3:7" ht="14.85" x14ac:dyDescent="0.25">
      <c r="C802" s="3"/>
      <c r="F802" s="3"/>
      <c r="G802" s="3"/>
    </row>
    <row r="803" spans="3:7" ht="14.85" x14ac:dyDescent="0.25">
      <c r="C803" s="3"/>
      <c r="F803" s="3"/>
      <c r="G803" s="3"/>
    </row>
    <row r="804" spans="3:7" ht="14.85" x14ac:dyDescent="0.25">
      <c r="C804" s="3"/>
      <c r="F804" s="3"/>
      <c r="G804" s="3"/>
    </row>
    <row r="805" spans="3:7" ht="14.85" x14ac:dyDescent="0.25">
      <c r="C805" s="3"/>
      <c r="F805" s="3"/>
      <c r="G805" s="3"/>
    </row>
    <row r="806" spans="3:7" ht="14.85" x14ac:dyDescent="0.25">
      <c r="C806" s="3"/>
      <c r="F806" s="3"/>
      <c r="G806" s="3"/>
    </row>
    <row r="807" spans="3:7" ht="14.85" x14ac:dyDescent="0.25">
      <c r="C807" s="3"/>
      <c r="F807" s="3"/>
      <c r="G807" s="3"/>
    </row>
    <row r="808" spans="3:7" ht="14.85" x14ac:dyDescent="0.25">
      <c r="C808" s="3"/>
      <c r="F808" s="3"/>
      <c r="G808" s="3"/>
    </row>
    <row r="809" spans="3:7" ht="14.85" x14ac:dyDescent="0.25">
      <c r="C809" s="3"/>
      <c r="F809" s="3"/>
      <c r="G809" s="3"/>
    </row>
    <row r="810" spans="3:7" ht="14.85" x14ac:dyDescent="0.25">
      <c r="C810" s="3"/>
      <c r="F810" s="3"/>
      <c r="G810" s="3"/>
    </row>
    <row r="811" spans="3:7" ht="14.85" x14ac:dyDescent="0.25">
      <c r="C811" s="3"/>
      <c r="F811" s="3"/>
      <c r="G811" s="3"/>
    </row>
    <row r="812" spans="3:7" ht="14.85" x14ac:dyDescent="0.25">
      <c r="C812" s="3"/>
      <c r="F812" s="3"/>
      <c r="G812" s="3"/>
    </row>
    <row r="813" spans="3:7" ht="14.85" x14ac:dyDescent="0.25">
      <c r="C813" s="3"/>
      <c r="F813" s="3"/>
      <c r="G813" s="3"/>
    </row>
    <row r="814" spans="3:7" ht="14.85" x14ac:dyDescent="0.25">
      <c r="C814" s="3"/>
      <c r="F814" s="3"/>
      <c r="G814" s="3"/>
    </row>
    <row r="815" spans="3:7" ht="14.85" x14ac:dyDescent="0.25">
      <c r="C815" s="3"/>
      <c r="F815" s="3"/>
      <c r="G815" s="3"/>
    </row>
    <row r="816" spans="3:7" ht="14.85" x14ac:dyDescent="0.25">
      <c r="C816" s="3"/>
      <c r="F816" s="3"/>
      <c r="G816" s="3"/>
    </row>
    <row r="817" spans="3:7" ht="14.85" x14ac:dyDescent="0.25">
      <c r="C817" s="3"/>
      <c r="F817" s="3"/>
      <c r="G817" s="3"/>
    </row>
    <row r="818" spans="3:7" ht="14.85" x14ac:dyDescent="0.25">
      <c r="C818" s="3"/>
      <c r="F818" s="3"/>
      <c r="G818" s="3"/>
    </row>
    <row r="819" spans="3:7" ht="14.85" x14ac:dyDescent="0.25">
      <c r="C819" s="3"/>
      <c r="F819" s="3"/>
      <c r="G819" s="3"/>
    </row>
    <row r="820" spans="3:7" ht="14.85" x14ac:dyDescent="0.25">
      <c r="C820" s="3"/>
      <c r="F820" s="3"/>
      <c r="G820" s="3"/>
    </row>
    <row r="821" spans="3:7" ht="14.85" x14ac:dyDescent="0.25">
      <c r="C821" s="3"/>
      <c r="F821" s="3"/>
      <c r="G821" s="3"/>
    </row>
    <row r="822" spans="3:7" ht="14.85" x14ac:dyDescent="0.25">
      <c r="C822" s="3"/>
      <c r="F822" s="3"/>
      <c r="G822" s="3"/>
    </row>
    <row r="823" spans="3:7" ht="14.85" x14ac:dyDescent="0.25">
      <c r="C823" s="3"/>
      <c r="F823" s="3"/>
      <c r="G823" s="3"/>
    </row>
    <row r="824" spans="3:7" ht="14.85" x14ac:dyDescent="0.25">
      <c r="C824" s="3"/>
      <c r="F824" s="3"/>
      <c r="G824" s="3"/>
    </row>
    <row r="825" spans="3:7" ht="14.85" x14ac:dyDescent="0.25">
      <c r="C825" s="3"/>
      <c r="F825" s="3"/>
      <c r="G825" s="3"/>
    </row>
    <row r="826" spans="3:7" ht="14.85" x14ac:dyDescent="0.25">
      <c r="C826" s="3"/>
      <c r="F826" s="3"/>
      <c r="G826" s="3"/>
    </row>
    <row r="827" spans="3:7" ht="14.85" x14ac:dyDescent="0.25">
      <c r="C827" s="3"/>
      <c r="F827" s="3"/>
      <c r="G827" s="3"/>
    </row>
    <row r="828" spans="3:7" ht="14.85" x14ac:dyDescent="0.25">
      <c r="C828" s="3"/>
      <c r="F828" s="3"/>
      <c r="G828" s="3"/>
    </row>
    <row r="829" spans="3:7" ht="14.85" x14ac:dyDescent="0.25">
      <c r="C829" s="3"/>
      <c r="F829" s="3"/>
      <c r="G829" s="3"/>
    </row>
    <row r="830" spans="3:7" ht="14.85" x14ac:dyDescent="0.25">
      <c r="C830" s="3"/>
      <c r="F830" s="3"/>
      <c r="G830" s="3"/>
    </row>
    <row r="831" spans="3:7" ht="14.85" x14ac:dyDescent="0.25">
      <c r="C831" s="3"/>
      <c r="F831" s="3"/>
      <c r="G831" s="3"/>
    </row>
    <row r="832" spans="3:7" ht="14.85" x14ac:dyDescent="0.25">
      <c r="C832" s="3"/>
      <c r="F832" s="3"/>
      <c r="G832" s="3"/>
    </row>
    <row r="833" spans="3:7" ht="14.85" x14ac:dyDescent="0.25">
      <c r="C833" s="3"/>
      <c r="F833" s="3"/>
      <c r="G833" s="3"/>
    </row>
    <row r="834" spans="3:7" ht="14.85" x14ac:dyDescent="0.25">
      <c r="C834" s="3"/>
      <c r="F834" s="3"/>
      <c r="G834" s="3"/>
    </row>
    <row r="835" spans="3:7" ht="14.85" x14ac:dyDescent="0.25">
      <c r="C835" s="3"/>
      <c r="F835" s="3"/>
      <c r="G835" s="3"/>
    </row>
    <row r="836" spans="3:7" ht="14.85" x14ac:dyDescent="0.25">
      <c r="C836" s="3"/>
      <c r="F836" s="3"/>
      <c r="G836" s="3"/>
    </row>
    <row r="837" spans="3:7" ht="14.85" x14ac:dyDescent="0.25">
      <c r="C837" s="3"/>
      <c r="F837" s="3"/>
      <c r="G837" s="3"/>
    </row>
    <row r="838" spans="3:7" ht="14.85" x14ac:dyDescent="0.25">
      <c r="C838" s="3"/>
      <c r="F838" s="3"/>
      <c r="G838" s="3"/>
    </row>
    <row r="839" spans="3:7" ht="14.85" x14ac:dyDescent="0.25">
      <c r="C839" s="3"/>
      <c r="F839" s="3"/>
      <c r="G839" s="3"/>
    </row>
    <row r="840" spans="3:7" ht="14.85" x14ac:dyDescent="0.25">
      <c r="C840" s="3"/>
      <c r="F840" s="3"/>
      <c r="G840" s="3"/>
    </row>
    <row r="841" spans="3:7" ht="14.85" x14ac:dyDescent="0.25">
      <c r="C841" s="3"/>
      <c r="F841" s="3"/>
      <c r="G841" s="3"/>
    </row>
    <row r="842" spans="3:7" ht="14.85" x14ac:dyDescent="0.25">
      <c r="C842" s="3"/>
      <c r="F842" s="3"/>
      <c r="G842" s="3"/>
    </row>
    <row r="843" spans="3:7" ht="14.85" x14ac:dyDescent="0.25">
      <c r="C843" s="3"/>
      <c r="F843" s="3"/>
      <c r="G843" s="3"/>
    </row>
    <row r="844" spans="3:7" ht="14.85" x14ac:dyDescent="0.25">
      <c r="C844" s="3"/>
      <c r="F844" s="3"/>
      <c r="G844" s="3"/>
    </row>
    <row r="845" spans="3:7" ht="14.85" x14ac:dyDescent="0.25">
      <c r="C845" s="3"/>
      <c r="F845" s="3"/>
      <c r="G845" s="3"/>
    </row>
    <row r="846" spans="3:7" ht="14.85" x14ac:dyDescent="0.25">
      <c r="C846" s="3"/>
      <c r="F846" s="3"/>
      <c r="G846" s="3"/>
    </row>
    <row r="847" spans="3:7" ht="14.85" x14ac:dyDescent="0.25">
      <c r="C847" s="3"/>
      <c r="F847" s="3"/>
      <c r="G847" s="3"/>
    </row>
    <row r="848" spans="3:7" ht="14.85" x14ac:dyDescent="0.25">
      <c r="C848" s="3"/>
      <c r="F848" s="3"/>
      <c r="G848" s="3"/>
    </row>
    <row r="849" spans="3:7" ht="14.85" x14ac:dyDescent="0.25">
      <c r="C849" s="3"/>
      <c r="F849" s="3"/>
      <c r="G849" s="3"/>
    </row>
    <row r="850" spans="3:7" ht="14.85" x14ac:dyDescent="0.25">
      <c r="C850" s="3"/>
      <c r="F850" s="3"/>
      <c r="G850" s="3"/>
    </row>
    <row r="851" spans="3:7" ht="14.85" x14ac:dyDescent="0.25">
      <c r="C851" s="3"/>
      <c r="F851" s="3"/>
      <c r="G851" s="3"/>
    </row>
    <row r="852" spans="3:7" ht="14.85" x14ac:dyDescent="0.25">
      <c r="C852" s="3"/>
      <c r="F852" s="3"/>
      <c r="G852" s="3"/>
    </row>
    <row r="853" spans="3:7" ht="14.85" x14ac:dyDescent="0.25">
      <c r="C853" s="3"/>
      <c r="F853" s="3"/>
      <c r="G853" s="3"/>
    </row>
    <row r="854" spans="3:7" ht="14.85" x14ac:dyDescent="0.25">
      <c r="C854" s="3"/>
      <c r="F854" s="3"/>
      <c r="G854" s="3"/>
    </row>
    <row r="855" spans="3:7" ht="14.85" x14ac:dyDescent="0.25">
      <c r="C855" s="3"/>
      <c r="F855" s="3"/>
      <c r="G855" s="3"/>
    </row>
    <row r="856" spans="3:7" ht="14.85" x14ac:dyDescent="0.25">
      <c r="C856" s="3"/>
      <c r="F856" s="3"/>
      <c r="G856" s="3"/>
    </row>
    <row r="857" spans="3:7" ht="14.85" x14ac:dyDescent="0.25">
      <c r="C857" s="3"/>
      <c r="F857" s="3"/>
      <c r="G857" s="3"/>
    </row>
    <row r="858" spans="3:7" ht="14.85" x14ac:dyDescent="0.25">
      <c r="C858" s="3"/>
      <c r="F858" s="3"/>
      <c r="G858" s="3"/>
    </row>
    <row r="859" spans="3:7" ht="14.85" x14ac:dyDescent="0.25">
      <c r="C859" s="3"/>
      <c r="F859" s="3"/>
      <c r="G859" s="3"/>
    </row>
    <row r="860" spans="3:7" ht="14.85" x14ac:dyDescent="0.25">
      <c r="C860" s="3"/>
      <c r="F860" s="3"/>
      <c r="G860" s="3"/>
    </row>
    <row r="861" spans="3:7" ht="14.85" x14ac:dyDescent="0.25">
      <c r="C861" s="3"/>
      <c r="F861" s="3"/>
      <c r="G861" s="3"/>
    </row>
    <row r="862" spans="3:7" ht="14.85" x14ac:dyDescent="0.25">
      <c r="C862" s="3"/>
      <c r="F862" s="3"/>
      <c r="G862" s="3"/>
    </row>
    <row r="863" spans="3:7" ht="14.85" x14ac:dyDescent="0.25">
      <c r="C863" s="3"/>
      <c r="F863" s="3"/>
      <c r="G863" s="3"/>
    </row>
    <row r="864" spans="3:7" ht="14.85" x14ac:dyDescent="0.25">
      <c r="C864" s="3"/>
      <c r="F864" s="3"/>
      <c r="G864" s="3"/>
    </row>
    <row r="865" spans="3:7" ht="14.85" x14ac:dyDescent="0.25">
      <c r="C865" s="3"/>
      <c r="F865" s="3"/>
      <c r="G865" s="3"/>
    </row>
    <row r="866" spans="3:7" ht="14.85" x14ac:dyDescent="0.25">
      <c r="C866" s="3"/>
      <c r="F866" s="3"/>
      <c r="G866" s="3"/>
    </row>
    <row r="867" spans="3:7" ht="14.85" x14ac:dyDescent="0.25">
      <c r="C867" s="3"/>
      <c r="F867" s="3"/>
      <c r="G867" s="3"/>
    </row>
    <row r="868" spans="3:7" ht="14.85" x14ac:dyDescent="0.25">
      <c r="C868" s="3"/>
      <c r="F868" s="3"/>
      <c r="G868" s="3"/>
    </row>
    <row r="869" spans="3:7" ht="14.85" x14ac:dyDescent="0.25">
      <c r="C869" s="3"/>
      <c r="F869" s="3"/>
      <c r="G869" s="3"/>
    </row>
    <row r="870" spans="3:7" ht="14.85" x14ac:dyDescent="0.25">
      <c r="C870" s="3"/>
      <c r="F870" s="3"/>
      <c r="G870" s="3"/>
    </row>
    <row r="871" spans="3:7" ht="14.85" x14ac:dyDescent="0.25">
      <c r="C871" s="3"/>
      <c r="F871" s="3"/>
      <c r="G871" s="3"/>
    </row>
    <row r="872" spans="3:7" ht="14.85" x14ac:dyDescent="0.25">
      <c r="C872" s="3"/>
      <c r="F872" s="3"/>
      <c r="G872" s="3"/>
    </row>
    <row r="873" spans="3:7" ht="14.85" x14ac:dyDescent="0.25">
      <c r="C873" s="3"/>
      <c r="F873" s="3"/>
      <c r="G873" s="3"/>
    </row>
    <row r="874" spans="3:7" ht="14.85" x14ac:dyDescent="0.25">
      <c r="C874" s="3"/>
      <c r="F874" s="3"/>
      <c r="G874" s="3"/>
    </row>
    <row r="875" spans="3:7" ht="14.85" x14ac:dyDescent="0.25">
      <c r="C875" s="3"/>
      <c r="F875" s="3"/>
      <c r="G875" s="3"/>
    </row>
    <row r="876" spans="3:7" ht="14.85" x14ac:dyDescent="0.25">
      <c r="C876" s="3"/>
      <c r="F876" s="3"/>
      <c r="G876" s="3"/>
    </row>
    <row r="877" spans="3:7" ht="14.85" x14ac:dyDescent="0.25">
      <c r="C877" s="3"/>
      <c r="F877" s="3"/>
      <c r="G877" s="3"/>
    </row>
    <row r="878" spans="3:7" ht="14.85" x14ac:dyDescent="0.25">
      <c r="C878" s="3"/>
      <c r="F878" s="3"/>
      <c r="G878" s="3"/>
    </row>
    <row r="879" spans="3:7" ht="14.85" x14ac:dyDescent="0.25">
      <c r="C879" s="3"/>
      <c r="F879" s="3"/>
      <c r="G879" s="3"/>
    </row>
    <row r="880" spans="3:7" ht="14.85" x14ac:dyDescent="0.25">
      <c r="C880" s="3"/>
      <c r="F880" s="3"/>
      <c r="G880" s="3"/>
    </row>
    <row r="881" spans="3:7" ht="14.85" x14ac:dyDescent="0.25">
      <c r="C881" s="3"/>
      <c r="F881" s="3"/>
      <c r="G881" s="3"/>
    </row>
    <row r="882" spans="3:7" ht="14.85" x14ac:dyDescent="0.25">
      <c r="C882" s="3"/>
      <c r="F882" s="3"/>
      <c r="G882" s="3"/>
    </row>
    <row r="883" spans="3:7" ht="14.85" x14ac:dyDescent="0.25">
      <c r="C883" s="3"/>
      <c r="F883" s="3"/>
      <c r="G883" s="3"/>
    </row>
    <row r="884" spans="3:7" ht="14.85" x14ac:dyDescent="0.25">
      <c r="C884" s="3"/>
      <c r="F884" s="3"/>
      <c r="G884" s="3"/>
    </row>
    <row r="885" spans="3:7" ht="14.85" x14ac:dyDescent="0.25">
      <c r="C885" s="3"/>
      <c r="F885" s="3"/>
      <c r="G885" s="3"/>
    </row>
    <row r="886" spans="3:7" ht="14.85" x14ac:dyDescent="0.25">
      <c r="C886" s="3"/>
      <c r="F886" s="3"/>
      <c r="G886" s="3"/>
    </row>
    <row r="887" spans="3:7" ht="14.85" x14ac:dyDescent="0.25">
      <c r="C887" s="3"/>
      <c r="F887" s="3"/>
      <c r="G887" s="3"/>
    </row>
    <row r="888" spans="3:7" ht="14.85" x14ac:dyDescent="0.25">
      <c r="C888" s="3"/>
      <c r="F888" s="3"/>
      <c r="G888" s="3"/>
    </row>
    <row r="889" spans="3:7" ht="14.85" x14ac:dyDescent="0.25">
      <c r="C889" s="3"/>
      <c r="F889" s="3"/>
      <c r="G889" s="3"/>
    </row>
    <row r="890" spans="3:7" ht="14.85" x14ac:dyDescent="0.25">
      <c r="C890" s="3"/>
      <c r="F890" s="3"/>
      <c r="G890" s="3"/>
    </row>
    <row r="891" spans="3:7" ht="14.85" x14ac:dyDescent="0.25">
      <c r="C891" s="3"/>
      <c r="F891" s="3"/>
      <c r="G891" s="3"/>
    </row>
    <row r="892" spans="3:7" ht="14.85" x14ac:dyDescent="0.25">
      <c r="C892" s="3"/>
      <c r="F892" s="3"/>
      <c r="G892" s="3"/>
    </row>
    <row r="893" spans="3:7" ht="14.85" x14ac:dyDescent="0.25">
      <c r="C893" s="3"/>
      <c r="F893" s="3"/>
      <c r="G893" s="3"/>
    </row>
    <row r="894" spans="3:7" ht="14.85" x14ac:dyDescent="0.25">
      <c r="C894" s="3"/>
      <c r="F894" s="3"/>
      <c r="G894" s="3"/>
    </row>
    <row r="895" spans="3:7" ht="14.85" x14ac:dyDescent="0.25">
      <c r="C895" s="3"/>
      <c r="F895" s="3"/>
      <c r="G895" s="3"/>
    </row>
    <row r="896" spans="3:7" ht="14.85" x14ac:dyDescent="0.25">
      <c r="C896" s="3"/>
      <c r="F896" s="3"/>
      <c r="G896" s="3"/>
    </row>
    <row r="897" spans="3:7" ht="14.85" x14ac:dyDescent="0.25">
      <c r="C897" s="3"/>
      <c r="F897" s="3"/>
      <c r="G897" s="3"/>
    </row>
    <row r="898" spans="3:7" ht="14.85" x14ac:dyDescent="0.25">
      <c r="C898" s="3"/>
      <c r="F898" s="3"/>
      <c r="G898" s="3"/>
    </row>
    <row r="899" spans="3:7" ht="14.85" x14ac:dyDescent="0.25">
      <c r="C899" s="3"/>
      <c r="F899" s="3"/>
      <c r="G899" s="3"/>
    </row>
    <row r="900" spans="3:7" ht="14.85" x14ac:dyDescent="0.25">
      <c r="C900" s="3"/>
      <c r="F900" s="3"/>
      <c r="G900" s="3"/>
    </row>
  </sheetData>
  <autoFilter ref="A1:G92" xr:uid="{00000000-0009-0000-0000-000004000000}"/>
  <phoneticPr fontId="2"/>
  <conditionalFormatting sqref="C1:C92">
    <cfRule type="cellIs" dxfId="14" priority="1" operator="equal">
      <formula>"風"</formula>
    </cfRule>
    <cfRule type="cellIs" dxfId="13" priority="2" operator="equal">
      <formula>"林"</formula>
    </cfRule>
    <cfRule type="cellIs" dxfId="12" priority="3" operator="equal">
      <formula>"火"</formula>
    </cfRule>
    <cfRule type="cellIs" dxfId="11" priority="4" operator="equal">
      <formula>"山"</formula>
    </cfRule>
    <cfRule type="cellIs" dxfId="10" priority="5" operator="equal">
      <formula>"無"</formula>
    </cfRule>
  </conditionalFormatting>
  <dataValidations count="3">
    <dataValidation type="list" allowBlank="1" showErrorMessage="1" sqref="G2:G900" xr:uid="{00000000-0002-0000-0400-000000000000}">
      <formula1>"ロングシュート,カウンターシュート,シュートブロック,無"</formula1>
    </dataValidation>
    <dataValidation type="list" allowBlank="1" showErrorMessage="1" sqref="C2:C900" xr:uid="{00000000-0002-0000-0400-000001000000}">
      <formula1>"風,林,火,山,無,リアルスキル"</formula1>
    </dataValidation>
    <dataValidation type="list" allowBlank="1" sqref="F2:F900" xr:uid="{00000000-0002-0000-0400-000002000000}">
      <formula1>"特訓ショップ,秘宝堂,クロニクル百貨店,VSストア,スピリット交換所,ボックス"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filterMode="1">
    <outlinePr summaryBelow="0" summaryRight="0"/>
  </sheetPr>
  <dimension ref="A1:G900"/>
  <sheetViews>
    <sheetView tabSelected="1" workbookViewId="0">
      <pane ySplit="1" topLeftCell="A28" activePane="bottomLeft" state="frozen"/>
      <selection pane="bottomLeft" activeCell="H1" sqref="H1"/>
    </sheetView>
  </sheetViews>
  <sheetFormatPr defaultColWidth="14.42578125" defaultRowHeight="15.05" customHeight="1" x14ac:dyDescent="0.25"/>
  <cols>
    <col min="2" max="2" width="24.140625" customWidth="1"/>
    <col min="5" max="5" width="17.28515625" customWidth="1"/>
    <col min="6" max="6" width="20.5703125" customWidth="1"/>
  </cols>
  <sheetData>
    <row r="1" spans="1:7" ht="12.8" customHeight="1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9" t="s">
        <v>5</v>
      </c>
      <c r="G1" s="9" t="s">
        <v>6</v>
      </c>
    </row>
    <row r="2" spans="1:7" ht="14.85" hidden="1" x14ac:dyDescent="0.25">
      <c r="A2" s="3" t="s">
        <v>376</v>
      </c>
      <c r="B2" s="3" t="s">
        <v>447</v>
      </c>
      <c r="C2" s="7" t="s">
        <v>17</v>
      </c>
      <c r="E2" s="3">
        <f>IF(D2=85, 80, D2)</f>
        <v>0</v>
      </c>
      <c r="F2" s="3"/>
      <c r="G2" s="7" t="s">
        <v>379</v>
      </c>
    </row>
    <row r="3" spans="1:7" ht="14.85" x14ac:dyDescent="0.25">
      <c r="A3" s="3" t="s">
        <v>376</v>
      </c>
      <c r="B3" s="3" t="s">
        <v>415</v>
      </c>
      <c r="C3" s="7" t="s">
        <v>17</v>
      </c>
      <c r="D3" s="7">
        <v>100</v>
      </c>
      <c r="E3" s="3">
        <f>IF(D3=85, 80, D3)</f>
        <v>100</v>
      </c>
      <c r="F3" s="7" t="s">
        <v>60</v>
      </c>
      <c r="G3" s="3"/>
    </row>
    <row r="4" spans="1:7" ht="14.85" x14ac:dyDescent="0.25">
      <c r="A4" s="3" t="s">
        <v>376</v>
      </c>
      <c r="B4" s="7" t="s">
        <v>467</v>
      </c>
      <c r="C4" s="7" t="s">
        <v>17</v>
      </c>
      <c r="D4" s="7">
        <v>100</v>
      </c>
      <c r="E4" s="3">
        <f>IF(D4=85, 80, D4)</f>
        <v>100</v>
      </c>
      <c r="F4" s="7" t="s">
        <v>18</v>
      </c>
      <c r="G4" s="3"/>
    </row>
    <row r="5" spans="1:7" ht="14.85" x14ac:dyDescent="0.25">
      <c r="A5" s="3" t="s">
        <v>376</v>
      </c>
      <c r="B5" s="3" t="s">
        <v>395</v>
      </c>
      <c r="C5" s="7" t="s">
        <v>17</v>
      </c>
      <c r="D5" s="7">
        <v>85</v>
      </c>
      <c r="E5" s="3">
        <f>IF(D5=85, 80, D5)</f>
        <v>80</v>
      </c>
      <c r="F5" s="7" t="s">
        <v>11</v>
      </c>
      <c r="G5" s="3"/>
    </row>
    <row r="6" spans="1:7" ht="14.85" x14ac:dyDescent="0.25">
      <c r="A6" s="3" t="s">
        <v>376</v>
      </c>
      <c r="B6" s="3" t="s">
        <v>393</v>
      </c>
      <c r="C6" s="7" t="s">
        <v>17</v>
      </c>
      <c r="D6" s="7">
        <v>85</v>
      </c>
      <c r="E6" s="3">
        <f>IF(D6=85, 80, D6)</f>
        <v>80</v>
      </c>
      <c r="F6" s="7" t="s">
        <v>11</v>
      </c>
      <c r="G6" s="3"/>
    </row>
    <row r="7" spans="1:7" ht="14.85" x14ac:dyDescent="0.25">
      <c r="A7" s="3" t="s">
        <v>376</v>
      </c>
      <c r="B7" s="3" t="s">
        <v>430</v>
      </c>
      <c r="C7" s="7" t="s">
        <v>17</v>
      </c>
      <c r="D7" s="7">
        <v>85</v>
      </c>
      <c r="E7" s="3">
        <f>IF(D7=85, 80, D7)</f>
        <v>80</v>
      </c>
      <c r="F7" s="7" t="s">
        <v>32</v>
      </c>
      <c r="G7" s="3"/>
    </row>
    <row r="8" spans="1:7" ht="14.85" x14ac:dyDescent="0.25">
      <c r="A8" s="3" t="s">
        <v>376</v>
      </c>
      <c r="B8" s="3" t="s">
        <v>405</v>
      </c>
      <c r="C8" s="7" t="s">
        <v>17</v>
      </c>
      <c r="D8" s="7">
        <v>70</v>
      </c>
      <c r="E8" s="3">
        <f>IF(D8=85, 80, D8)</f>
        <v>70</v>
      </c>
      <c r="F8" s="7" t="s">
        <v>11</v>
      </c>
      <c r="G8" s="3"/>
    </row>
    <row r="9" spans="1:7" ht="14.85" x14ac:dyDescent="0.25">
      <c r="A9" s="3" t="s">
        <v>376</v>
      </c>
      <c r="B9" s="3" t="s">
        <v>411</v>
      </c>
      <c r="C9" s="7" t="s">
        <v>17</v>
      </c>
      <c r="D9" s="7">
        <v>70</v>
      </c>
      <c r="E9" s="3">
        <f>IF(D9=85, 80, D9)</f>
        <v>70</v>
      </c>
      <c r="F9" s="7" t="s">
        <v>11</v>
      </c>
      <c r="G9" s="3"/>
    </row>
    <row r="10" spans="1:7" ht="14.85" x14ac:dyDescent="0.25">
      <c r="A10" s="3" t="s">
        <v>376</v>
      </c>
      <c r="B10" s="3" t="s">
        <v>444</v>
      </c>
      <c r="C10" s="7" t="s">
        <v>17</v>
      </c>
      <c r="D10" s="7">
        <v>70</v>
      </c>
      <c r="E10" s="3">
        <f>IF(D10=85, 80, D10)</f>
        <v>70</v>
      </c>
      <c r="F10" s="7" t="s">
        <v>24</v>
      </c>
      <c r="G10" s="3"/>
    </row>
    <row r="11" spans="1:7" ht="14.85" x14ac:dyDescent="0.25">
      <c r="A11" s="3" t="s">
        <v>376</v>
      </c>
      <c r="B11" s="7" t="s">
        <v>461</v>
      </c>
      <c r="C11" s="7" t="s">
        <v>17</v>
      </c>
      <c r="D11" s="7">
        <v>70</v>
      </c>
      <c r="E11" s="3">
        <f>IF(D11=85, 80, D11)</f>
        <v>70</v>
      </c>
      <c r="F11" s="7" t="s">
        <v>18</v>
      </c>
      <c r="G11" s="3"/>
    </row>
    <row r="12" spans="1:7" ht="14.85" x14ac:dyDescent="0.25">
      <c r="A12" s="3" t="s">
        <v>376</v>
      </c>
      <c r="B12" s="3" t="s">
        <v>400</v>
      </c>
      <c r="C12" s="7" t="s">
        <v>17</v>
      </c>
      <c r="D12" s="7">
        <v>60</v>
      </c>
      <c r="E12" s="3">
        <f>IF(D12=85, 80, D12)</f>
        <v>60</v>
      </c>
      <c r="F12" s="7" t="s">
        <v>24</v>
      </c>
      <c r="G12" s="3"/>
    </row>
    <row r="13" spans="1:7" ht="14.85" x14ac:dyDescent="0.25">
      <c r="A13" s="3" t="s">
        <v>376</v>
      </c>
      <c r="B13" s="3" t="s">
        <v>403</v>
      </c>
      <c r="C13" s="7" t="s">
        <v>17</v>
      </c>
      <c r="D13" s="7">
        <v>60</v>
      </c>
      <c r="E13" s="3">
        <f>IF(D13=85, 80, D13)</f>
        <v>60</v>
      </c>
      <c r="F13" s="7" t="s">
        <v>24</v>
      </c>
      <c r="G13" s="3"/>
    </row>
    <row r="14" spans="1:7" ht="14.85" x14ac:dyDescent="0.25">
      <c r="A14" s="3" t="s">
        <v>376</v>
      </c>
      <c r="B14" s="3" t="s">
        <v>377</v>
      </c>
      <c r="C14" s="7" t="s">
        <v>17</v>
      </c>
      <c r="D14" s="7">
        <v>60</v>
      </c>
      <c r="E14" s="3">
        <f>IF(D14=85, 80, D14)</f>
        <v>60</v>
      </c>
      <c r="F14" s="7" t="s">
        <v>11</v>
      </c>
      <c r="G14" s="3"/>
    </row>
    <row r="15" spans="1:7" ht="14.85" x14ac:dyDescent="0.25">
      <c r="A15" s="3" t="s">
        <v>376</v>
      </c>
      <c r="B15" s="3" t="s">
        <v>421</v>
      </c>
      <c r="C15" s="7" t="s">
        <v>17</v>
      </c>
      <c r="D15" s="7">
        <v>60</v>
      </c>
      <c r="E15" s="3">
        <f>IF(D15=85, 80, D15)</f>
        <v>60</v>
      </c>
      <c r="F15" s="7" t="s">
        <v>24</v>
      </c>
      <c r="G15" s="3"/>
    </row>
    <row r="16" spans="1:7" ht="14.85" x14ac:dyDescent="0.25">
      <c r="A16" s="3" t="s">
        <v>376</v>
      </c>
      <c r="B16" s="3" t="s">
        <v>445</v>
      </c>
      <c r="C16" s="7" t="s">
        <v>17</v>
      </c>
      <c r="D16" s="7">
        <v>60</v>
      </c>
      <c r="E16" s="3">
        <f>IF(D16=85, 80, D16)</f>
        <v>60</v>
      </c>
      <c r="F16" s="7" t="s">
        <v>32</v>
      </c>
      <c r="G16" s="3"/>
    </row>
    <row r="17" spans="1:7" ht="14.85" x14ac:dyDescent="0.25">
      <c r="A17" s="3" t="s">
        <v>376</v>
      </c>
      <c r="B17" s="3" t="s">
        <v>448</v>
      </c>
      <c r="C17" s="7" t="s">
        <v>17</v>
      </c>
      <c r="D17" s="7">
        <v>60</v>
      </c>
      <c r="E17" s="3">
        <f>IF(D17=85, 80, D17)</f>
        <v>60</v>
      </c>
      <c r="F17" s="7" t="s">
        <v>18</v>
      </c>
      <c r="G17" s="3"/>
    </row>
    <row r="18" spans="1:7" ht="14.85" x14ac:dyDescent="0.25">
      <c r="A18" s="3" t="s">
        <v>376</v>
      </c>
      <c r="B18" s="3" t="s">
        <v>381</v>
      </c>
      <c r="C18" s="7" t="s">
        <v>17</v>
      </c>
      <c r="D18" s="7">
        <v>50</v>
      </c>
      <c r="E18" s="3">
        <f>IF(D18=85, 80, D18)</f>
        <v>50</v>
      </c>
      <c r="F18" s="7" t="s">
        <v>18</v>
      </c>
      <c r="G18" s="3"/>
    </row>
    <row r="19" spans="1:7" ht="14.85" x14ac:dyDescent="0.25">
      <c r="A19" s="3" t="s">
        <v>376</v>
      </c>
      <c r="B19" s="3" t="s">
        <v>382</v>
      </c>
      <c r="C19" s="7" t="s">
        <v>17</v>
      </c>
      <c r="D19" s="7">
        <v>50</v>
      </c>
      <c r="E19" s="3">
        <f>IF(D19=85, 80, D19)</f>
        <v>50</v>
      </c>
      <c r="F19" s="7" t="s">
        <v>32</v>
      </c>
      <c r="G19" s="3"/>
    </row>
    <row r="20" spans="1:7" ht="14.85" x14ac:dyDescent="0.25">
      <c r="A20" s="3" t="s">
        <v>376</v>
      </c>
      <c r="B20" s="3" t="s">
        <v>436</v>
      </c>
      <c r="C20" s="7" t="s">
        <v>17</v>
      </c>
      <c r="D20" s="7">
        <v>50</v>
      </c>
      <c r="E20" s="3">
        <f>IF(D20=85, 80, D20)</f>
        <v>50</v>
      </c>
      <c r="F20" s="7" t="s">
        <v>24</v>
      </c>
      <c r="G20" s="3"/>
    </row>
    <row r="21" spans="1:7" ht="14.85" x14ac:dyDescent="0.25">
      <c r="A21" s="3" t="s">
        <v>376</v>
      </c>
      <c r="B21" s="3" t="s">
        <v>454</v>
      </c>
      <c r="C21" s="7" t="s">
        <v>158</v>
      </c>
      <c r="D21" s="7">
        <v>70</v>
      </c>
      <c r="E21" s="3">
        <f>IF(D21=85, 80, D21)</f>
        <v>70</v>
      </c>
      <c r="F21" s="7" t="s">
        <v>24</v>
      </c>
      <c r="G21" s="3"/>
    </row>
    <row r="22" spans="1:7" ht="14.85" x14ac:dyDescent="0.25">
      <c r="A22" s="3" t="s">
        <v>376</v>
      </c>
      <c r="B22" s="3" t="s">
        <v>455</v>
      </c>
      <c r="C22" s="7" t="s">
        <v>158</v>
      </c>
      <c r="D22" s="7">
        <v>70</v>
      </c>
      <c r="E22" s="3">
        <f>IF(D22=85, 80, D22)</f>
        <v>70</v>
      </c>
      <c r="F22" s="7" t="s">
        <v>32</v>
      </c>
      <c r="G22" s="3"/>
    </row>
    <row r="23" spans="1:7" ht="14.85" x14ac:dyDescent="0.25">
      <c r="A23" s="3" t="s">
        <v>376</v>
      </c>
      <c r="B23" s="3" t="s">
        <v>456</v>
      </c>
      <c r="C23" s="7" t="s">
        <v>158</v>
      </c>
      <c r="E23" s="3">
        <f>IF(D23=85, 80, D23)</f>
        <v>0</v>
      </c>
      <c r="F23" s="3"/>
      <c r="G23" s="3"/>
    </row>
    <row r="24" spans="1:7" ht="14.85" hidden="1" x14ac:dyDescent="0.25">
      <c r="A24" s="3" t="s">
        <v>376</v>
      </c>
      <c r="B24" s="3" t="s">
        <v>426</v>
      </c>
      <c r="C24" s="7" t="s">
        <v>10</v>
      </c>
      <c r="D24" s="7">
        <v>100</v>
      </c>
      <c r="E24" s="3">
        <f>IF(D24=85, 80, D24)</f>
        <v>100</v>
      </c>
      <c r="F24" s="7" t="s">
        <v>52</v>
      </c>
      <c r="G24" s="7" t="s">
        <v>379</v>
      </c>
    </row>
    <row r="25" spans="1:7" ht="14.85" hidden="1" x14ac:dyDescent="0.25">
      <c r="A25" s="3" t="s">
        <v>376</v>
      </c>
      <c r="B25" s="3" t="s">
        <v>406</v>
      </c>
      <c r="C25" s="7" t="s">
        <v>10</v>
      </c>
      <c r="D25" s="7">
        <v>85</v>
      </c>
      <c r="E25" s="3">
        <f>IF(D25=85, 80, D25)</f>
        <v>80</v>
      </c>
      <c r="F25" s="7" t="s">
        <v>60</v>
      </c>
      <c r="G25" s="7" t="s">
        <v>379</v>
      </c>
    </row>
    <row r="26" spans="1:7" ht="14.85" hidden="1" x14ac:dyDescent="0.25">
      <c r="A26" s="3" t="s">
        <v>376</v>
      </c>
      <c r="B26" s="3" t="s">
        <v>408</v>
      </c>
      <c r="C26" s="7" t="s">
        <v>10</v>
      </c>
      <c r="D26" s="7">
        <v>70</v>
      </c>
      <c r="E26" s="3">
        <f>IF(D26=85, 80, D26)</f>
        <v>70</v>
      </c>
      <c r="F26" s="7" t="s">
        <v>11</v>
      </c>
      <c r="G26" s="7" t="s">
        <v>379</v>
      </c>
    </row>
    <row r="27" spans="1:7" ht="14.85" hidden="1" x14ac:dyDescent="0.25">
      <c r="A27" s="3" t="s">
        <v>376</v>
      </c>
      <c r="B27" s="3" t="s">
        <v>404</v>
      </c>
      <c r="C27" s="7" t="s">
        <v>10</v>
      </c>
      <c r="D27" s="7">
        <v>50</v>
      </c>
      <c r="E27" s="3">
        <f>IF(D27=85, 80, D27)</f>
        <v>50</v>
      </c>
      <c r="F27" s="7" t="s">
        <v>32</v>
      </c>
      <c r="G27" s="7" t="s">
        <v>379</v>
      </c>
    </row>
    <row r="28" spans="1:7" ht="14.85" x14ac:dyDescent="0.25">
      <c r="A28" s="3" t="s">
        <v>376</v>
      </c>
      <c r="B28" s="7" t="s">
        <v>468</v>
      </c>
      <c r="C28" s="7" t="s">
        <v>10</v>
      </c>
      <c r="D28" s="7">
        <v>100</v>
      </c>
      <c r="E28" s="3">
        <f>IF(D28=85, 80, D28)</f>
        <v>100</v>
      </c>
      <c r="F28" s="7" t="s">
        <v>18</v>
      </c>
      <c r="G28" s="3"/>
    </row>
    <row r="29" spans="1:7" ht="14.85" x14ac:dyDescent="0.25">
      <c r="A29" s="3" t="s">
        <v>376</v>
      </c>
      <c r="B29" s="3" t="s">
        <v>429</v>
      </c>
      <c r="C29" s="7" t="s">
        <v>10</v>
      </c>
      <c r="D29" s="7">
        <v>85</v>
      </c>
      <c r="E29" s="3">
        <f>IF(D29=85, 80, D29)</f>
        <v>80</v>
      </c>
      <c r="F29" s="7" t="s">
        <v>32</v>
      </c>
      <c r="G29" s="3"/>
    </row>
    <row r="30" spans="1:7" ht="14.85" x14ac:dyDescent="0.25">
      <c r="A30" s="3" t="s">
        <v>376</v>
      </c>
      <c r="B30" s="3" t="s">
        <v>391</v>
      </c>
      <c r="C30" s="7" t="s">
        <v>10</v>
      </c>
      <c r="D30" s="7">
        <v>70</v>
      </c>
      <c r="E30" s="3">
        <f>IF(D30=85, 80, D30)</f>
        <v>70</v>
      </c>
      <c r="F30" s="7" t="s">
        <v>11</v>
      </c>
      <c r="G30" s="3"/>
    </row>
    <row r="31" spans="1:7" ht="14.85" x14ac:dyDescent="0.25">
      <c r="A31" s="3" t="s">
        <v>376</v>
      </c>
      <c r="B31" s="3" t="s">
        <v>407</v>
      </c>
      <c r="C31" s="7" t="s">
        <v>10</v>
      </c>
      <c r="D31" s="7">
        <v>70</v>
      </c>
      <c r="E31" s="3">
        <f>IF(D31=85, 80, D31)</f>
        <v>70</v>
      </c>
      <c r="F31" s="7" t="s">
        <v>11</v>
      </c>
      <c r="G31" s="3"/>
    </row>
    <row r="32" spans="1:7" ht="14.85" x14ac:dyDescent="0.25">
      <c r="A32" s="3" t="s">
        <v>376</v>
      </c>
      <c r="B32" s="3" t="s">
        <v>443</v>
      </c>
      <c r="C32" s="7" t="s">
        <v>10</v>
      </c>
      <c r="D32" s="7">
        <v>70</v>
      </c>
      <c r="E32" s="3">
        <f>IF(D32=85, 80, D32)</f>
        <v>70</v>
      </c>
      <c r="F32" s="7" t="s">
        <v>24</v>
      </c>
      <c r="G32" s="3"/>
    </row>
    <row r="33" spans="1:7" ht="14.85" x14ac:dyDescent="0.25">
      <c r="A33" s="3" t="s">
        <v>376</v>
      </c>
      <c r="B33" s="3" t="s">
        <v>410</v>
      </c>
      <c r="C33" s="7" t="s">
        <v>10</v>
      </c>
      <c r="D33" s="7">
        <v>60</v>
      </c>
      <c r="E33" s="3">
        <f>IF(D33=85, 80, D33)</f>
        <v>60</v>
      </c>
      <c r="F33" s="7" t="s">
        <v>18</v>
      </c>
      <c r="G33" s="3"/>
    </row>
    <row r="34" spans="1:7" ht="14.85" x14ac:dyDescent="0.25">
      <c r="A34" s="3" t="s">
        <v>376</v>
      </c>
      <c r="B34" s="3" t="s">
        <v>417</v>
      </c>
      <c r="C34" s="7" t="s">
        <v>10</v>
      </c>
      <c r="D34" s="7">
        <v>60</v>
      </c>
      <c r="E34" s="3">
        <f>IF(D34=85, 80, D34)</f>
        <v>60</v>
      </c>
      <c r="F34" s="7" t="s">
        <v>24</v>
      </c>
      <c r="G34" s="3"/>
    </row>
    <row r="35" spans="1:7" ht="14.85" x14ac:dyDescent="0.25">
      <c r="A35" s="3" t="s">
        <v>376</v>
      </c>
      <c r="B35" s="3" t="s">
        <v>420</v>
      </c>
      <c r="C35" s="7" t="s">
        <v>10</v>
      </c>
      <c r="D35" s="7">
        <v>60</v>
      </c>
      <c r="E35" s="3">
        <f>IF(D35=85, 80, D35)</f>
        <v>60</v>
      </c>
      <c r="F35" s="7" t="s">
        <v>24</v>
      </c>
      <c r="G35" s="3"/>
    </row>
    <row r="36" spans="1:7" ht="14.85" x14ac:dyDescent="0.25">
      <c r="A36" s="3" t="s">
        <v>376</v>
      </c>
      <c r="B36" s="3" t="s">
        <v>422</v>
      </c>
      <c r="C36" s="7" t="s">
        <v>10</v>
      </c>
      <c r="D36" s="7">
        <v>60</v>
      </c>
      <c r="E36" s="3">
        <f>IF(D36=85, 80, D36)</f>
        <v>60</v>
      </c>
      <c r="F36" s="7" t="s">
        <v>24</v>
      </c>
      <c r="G36" s="3"/>
    </row>
    <row r="37" spans="1:7" ht="14.85" x14ac:dyDescent="0.25">
      <c r="A37" s="3" t="s">
        <v>376</v>
      </c>
      <c r="B37" s="3" t="s">
        <v>428</v>
      </c>
      <c r="C37" s="7" t="s">
        <v>10</v>
      </c>
      <c r="D37" s="7">
        <v>60</v>
      </c>
      <c r="E37" s="3">
        <f>IF(D37=85, 80, D37)</f>
        <v>60</v>
      </c>
      <c r="F37" s="7" t="s">
        <v>18</v>
      </c>
      <c r="G37" s="3"/>
    </row>
    <row r="38" spans="1:7" ht="14.85" x14ac:dyDescent="0.25">
      <c r="A38" s="3" t="s">
        <v>376</v>
      </c>
      <c r="B38" s="3" t="s">
        <v>431</v>
      </c>
      <c r="C38" s="7" t="s">
        <v>10</v>
      </c>
      <c r="D38" s="7">
        <v>60</v>
      </c>
      <c r="E38" s="3">
        <f>IF(D38=85, 80, D38)</f>
        <v>60</v>
      </c>
      <c r="F38" s="7" t="s">
        <v>24</v>
      </c>
      <c r="G38" s="3"/>
    </row>
    <row r="39" spans="1:7" ht="14.85" x14ac:dyDescent="0.25">
      <c r="A39" s="3" t="s">
        <v>376</v>
      </c>
      <c r="B39" s="3" t="s">
        <v>435</v>
      </c>
      <c r="C39" s="7" t="s">
        <v>10</v>
      </c>
      <c r="D39" s="7">
        <v>60</v>
      </c>
      <c r="E39" s="3">
        <f>IF(D39=85, 80, D39)</f>
        <v>60</v>
      </c>
      <c r="F39" s="7" t="s">
        <v>24</v>
      </c>
      <c r="G39" s="3"/>
    </row>
    <row r="40" spans="1:7" ht="14.85" x14ac:dyDescent="0.25">
      <c r="A40" s="3" t="s">
        <v>376</v>
      </c>
      <c r="B40" s="7" t="s">
        <v>460</v>
      </c>
      <c r="C40" s="7" t="s">
        <v>10</v>
      </c>
      <c r="D40" s="7">
        <v>60</v>
      </c>
      <c r="E40" s="3">
        <f>IF(D40=85, 80, D40)</f>
        <v>60</v>
      </c>
      <c r="F40" s="7" t="s">
        <v>18</v>
      </c>
      <c r="G40" s="3"/>
    </row>
    <row r="41" spans="1:7" ht="14.85" x14ac:dyDescent="0.25">
      <c r="A41" s="3" t="s">
        <v>376</v>
      </c>
      <c r="B41" s="7" t="s">
        <v>464</v>
      </c>
      <c r="C41" s="7" t="s">
        <v>10</v>
      </c>
      <c r="D41" s="7">
        <v>60</v>
      </c>
      <c r="E41" s="3">
        <f>IF(D41=85, 80, D41)</f>
        <v>60</v>
      </c>
      <c r="F41" s="7" t="s">
        <v>18</v>
      </c>
      <c r="G41" s="3"/>
    </row>
    <row r="42" spans="1:7" ht="14.85" x14ac:dyDescent="0.25">
      <c r="A42" s="3" t="s">
        <v>376</v>
      </c>
      <c r="B42" s="3" t="s">
        <v>388</v>
      </c>
      <c r="C42" s="7" t="s">
        <v>10</v>
      </c>
      <c r="D42" s="7">
        <v>50</v>
      </c>
      <c r="E42" s="3">
        <f>IF(D42=85, 80, D42)</f>
        <v>50</v>
      </c>
      <c r="F42" s="7" t="s">
        <v>24</v>
      </c>
      <c r="G42" s="3"/>
    </row>
    <row r="43" spans="1:7" ht="14.85" x14ac:dyDescent="0.25">
      <c r="A43" s="3" t="s">
        <v>376</v>
      </c>
      <c r="B43" s="3" t="s">
        <v>402</v>
      </c>
      <c r="C43" s="7" t="s">
        <v>10</v>
      </c>
      <c r="D43" s="7">
        <v>50</v>
      </c>
      <c r="E43" s="3">
        <f>IF(D43=85, 80, D43)</f>
        <v>50</v>
      </c>
      <c r="F43" s="7" t="s">
        <v>24</v>
      </c>
      <c r="G43" s="3"/>
    </row>
    <row r="44" spans="1:7" ht="14.85" x14ac:dyDescent="0.25">
      <c r="A44" s="3" t="s">
        <v>376</v>
      </c>
      <c r="B44" s="3" t="s">
        <v>432</v>
      </c>
      <c r="C44" s="7" t="s">
        <v>10</v>
      </c>
      <c r="D44" s="7">
        <v>50</v>
      </c>
      <c r="E44" s="3">
        <f>IF(D44=85, 80, D44)</f>
        <v>50</v>
      </c>
      <c r="F44" s="7" t="s">
        <v>24</v>
      </c>
      <c r="G44" s="3"/>
    </row>
    <row r="45" spans="1:7" ht="14.85" x14ac:dyDescent="0.25">
      <c r="A45" s="3" t="s">
        <v>376</v>
      </c>
      <c r="B45" s="3" t="s">
        <v>437</v>
      </c>
      <c r="C45" s="7" t="s">
        <v>10</v>
      </c>
      <c r="D45" s="7">
        <v>50</v>
      </c>
      <c r="E45" s="3">
        <f>IF(D45=85, 80, D45)</f>
        <v>50</v>
      </c>
      <c r="F45" s="7" t="s">
        <v>24</v>
      </c>
      <c r="G45" s="3"/>
    </row>
    <row r="46" spans="1:7" ht="14.85" hidden="1" x14ac:dyDescent="0.25">
      <c r="A46" s="3" t="s">
        <v>376</v>
      </c>
      <c r="B46" s="3" t="s">
        <v>433</v>
      </c>
      <c r="C46" s="7" t="s">
        <v>39</v>
      </c>
      <c r="D46" s="7">
        <v>60</v>
      </c>
      <c r="E46" s="3">
        <f>IF(D46=85, 80, D46)</f>
        <v>60</v>
      </c>
      <c r="F46" s="7" t="s">
        <v>32</v>
      </c>
      <c r="G46" s="7" t="s">
        <v>379</v>
      </c>
    </row>
    <row r="47" spans="1:7" ht="14.85" hidden="1" x14ac:dyDescent="0.25">
      <c r="A47" s="3" t="s">
        <v>376</v>
      </c>
      <c r="B47" s="3" t="s">
        <v>451</v>
      </c>
      <c r="C47" s="7" t="s">
        <v>39</v>
      </c>
      <c r="D47" s="7">
        <v>60</v>
      </c>
      <c r="E47" s="3">
        <f>IF(D47=85, 80, D47)</f>
        <v>60</v>
      </c>
      <c r="F47" s="7" t="s">
        <v>32</v>
      </c>
      <c r="G47" s="7" t="s">
        <v>379</v>
      </c>
    </row>
    <row r="48" spans="1:7" ht="14.85" x14ac:dyDescent="0.25">
      <c r="A48" s="3" t="s">
        <v>376</v>
      </c>
      <c r="B48" s="3" t="s">
        <v>416</v>
      </c>
      <c r="C48" s="7" t="s">
        <v>39</v>
      </c>
      <c r="D48" s="7">
        <v>100</v>
      </c>
      <c r="E48" s="3">
        <f>IF(D48=85, 80, D48)</f>
        <v>100</v>
      </c>
      <c r="F48" s="7" t="s">
        <v>60</v>
      </c>
      <c r="G48" s="3"/>
    </row>
    <row r="49" spans="1:7" ht="14.85" x14ac:dyDescent="0.25">
      <c r="A49" s="3" t="s">
        <v>376</v>
      </c>
      <c r="B49" s="3" t="s">
        <v>427</v>
      </c>
      <c r="C49" s="7" t="s">
        <v>39</v>
      </c>
      <c r="D49" s="7">
        <v>100</v>
      </c>
      <c r="E49" s="3">
        <f>IF(D49=85, 80, D49)</f>
        <v>100</v>
      </c>
      <c r="F49" s="7" t="s">
        <v>52</v>
      </c>
      <c r="G49" s="3"/>
    </row>
    <row r="50" spans="1:7" ht="14.85" x14ac:dyDescent="0.25">
      <c r="A50" s="3" t="s">
        <v>376</v>
      </c>
      <c r="B50" s="3" t="s">
        <v>393</v>
      </c>
      <c r="C50" s="7" t="s">
        <v>39</v>
      </c>
      <c r="D50" s="7">
        <v>85</v>
      </c>
      <c r="E50" s="3">
        <f>IF(D50=85, 80, D50)</f>
        <v>80</v>
      </c>
      <c r="F50" s="7" t="s">
        <v>11</v>
      </c>
      <c r="G50" s="3"/>
    </row>
    <row r="51" spans="1:7" ht="14.85" x14ac:dyDescent="0.25">
      <c r="A51" s="3" t="s">
        <v>376</v>
      </c>
      <c r="B51" s="3" t="s">
        <v>394</v>
      </c>
      <c r="C51" s="7" t="s">
        <v>39</v>
      </c>
      <c r="D51" s="7">
        <v>85</v>
      </c>
      <c r="E51" s="3">
        <f>IF(D51=85, 80, D51)</f>
        <v>80</v>
      </c>
      <c r="F51" s="7" t="s">
        <v>11</v>
      </c>
      <c r="G51" s="3"/>
    </row>
    <row r="52" spans="1:7" ht="14.85" x14ac:dyDescent="0.25">
      <c r="A52" s="3" t="s">
        <v>376</v>
      </c>
      <c r="B52" s="3" t="s">
        <v>440</v>
      </c>
      <c r="C52" s="7" t="s">
        <v>39</v>
      </c>
      <c r="D52" s="7">
        <v>85</v>
      </c>
      <c r="E52" s="3">
        <f>IF(D52=85, 80, D52)</f>
        <v>80</v>
      </c>
      <c r="F52" s="7" t="s">
        <v>11</v>
      </c>
      <c r="G52" s="3"/>
    </row>
    <row r="53" spans="1:7" ht="14.85" x14ac:dyDescent="0.25">
      <c r="A53" s="3" t="s">
        <v>376</v>
      </c>
      <c r="B53" s="3" t="s">
        <v>452</v>
      </c>
      <c r="C53" s="7" t="s">
        <v>39</v>
      </c>
      <c r="D53" s="7">
        <v>85</v>
      </c>
      <c r="E53" s="3">
        <f>IF(D53=85, 80, D53)</f>
        <v>80</v>
      </c>
      <c r="F53" s="7" t="s">
        <v>32</v>
      </c>
      <c r="G53" s="3"/>
    </row>
    <row r="54" spans="1:7" ht="14.85" x14ac:dyDescent="0.25">
      <c r="A54" s="3" t="s">
        <v>376</v>
      </c>
      <c r="B54" s="7" t="s">
        <v>466</v>
      </c>
      <c r="C54" s="7" t="s">
        <v>39</v>
      </c>
      <c r="D54" s="7">
        <v>85</v>
      </c>
      <c r="E54" s="3">
        <f>IF(D54=85, 80, D54)</f>
        <v>80</v>
      </c>
      <c r="F54" s="7" t="s">
        <v>18</v>
      </c>
      <c r="G54" s="3"/>
    </row>
    <row r="55" spans="1:7" ht="14.85" x14ac:dyDescent="0.25">
      <c r="A55" s="3" t="s">
        <v>376</v>
      </c>
      <c r="B55" s="3" t="s">
        <v>384</v>
      </c>
      <c r="C55" s="7" t="s">
        <v>39</v>
      </c>
      <c r="D55" s="7">
        <v>70</v>
      </c>
      <c r="E55" s="3">
        <f>IF(D55=85, 80, D55)</f>
        <v>70</v>
      </c>
      <c r="F55" s="7" t="s">
        <v>32</v>
      </c>
      <c r="G55" s="3"/>
    </row>
    <row r="56" spans="1:7" ht="14.85" x14ac:dyDescent="0.25">
      <c r="A56" s="3" t="s">
        <v>376</v>
      </c>
      <c r="B56" s="3" t="s">
        <v>390</v>
      </c>
      <c r="C56" s="7" t="s">
        <v>39</v>
      </c>
      <c r="D56" s="7">
        <v>70</v>
      </c>
      <c r="E56" s="3">
        <f>IF(D56=85, 80, D56)</f>
        <v>70</v>
      </c>
      <c r="F56" s="7" t="s">
        <v>32</v>
      </c>
      <c r="G56" s="3"/>
    </row>
    <row r="57" spans="1:7" ht="14.85" x14ac:dyDescent="0.25">
      <c r="A57" s="3" t="s">
        <v>376</v>
      </c>
      <c r="B57" s="3" t="s">
        <v>412</v>
      </c>
      <c r="C57" s="7" t="s">
        <v>39</v>
      </c>
      <c r="D57" s="7">
        <v>70</v>
      </c>
      <c r="E57" s="3">
        <f>IF(D57=85, 80, D57)</f>
        <v>70</v>
      </c>
      <c r="F57" s="7" t="s">
        <v>11</v>
      </c>
      <c r="G57" s="3"/>
    </row>
    <row r="58" spans="1:7" ht="14.85" x14ac:dyDescent="0.25">
      <c r="A58" s="3" t="s">
        <v>376</v>
      </c>
      <c r="B58" s="3" t="s">
        <v>441</v>
      </c>
      <c r="C58" s="7" t="s">
        <v>39</v>
      </c>
      <c r="D58" s="7">
        <v>70</v>
      </c>
      <c r="E58" s="3">
        <f>IF(D58=85, 80, D58)</f>
        <v>70</v>
      </c>
      <c r="F58" s="7" t="s">
        <v>18</v>
      </c>
      <c r="G58" s="3"/>
    </row>
    <row r="59" spans="1:7" ht="14.85" x14ac:dyDescent="0.25">
      <c r="A59" s="3" t="s">
        <v>376</v>
      </c>
      <c r="B59" s="3" t="s">
        <v>377</v>
      </c>
      <c r="C59" s="7" t="s">
        <v>39</v>
      </c>
      <c r="D59" s="7">
        <v>60</v>
      </c>
      <c r="E59" s="3">
        <f>IF(D59=85, 80, D59)</f>
        <v>60</v>
      </c>
      <c r="F59" s="7" t="s">
        <v>11</v>
      </c>
      <c r="G59" s="3"/>
    </row>
    <row r="60" spans="1:7" ht="14.85" x14ac:dyDescent="0.25">
      <c r="A60" s="3" t="s">
        <v>376</v>
      </c>
      <c r="B60" s="3" t="s">
        <v>383</v>
      </c>
      <c r="C60" s="7" t="s">
        <v>39</v>
      </c>
      <c r="D60" s="7">
        <v>60</v>
      </c>
      <c r="E60" s="3">
        <f>IF(D60=85, 80, D60)</f>
        <v>60</v>
      </c>
      <c r="F60" s="7" t="s">
        <v>11</v>
      </c>
      <c r="G60" s="3"/>
    </row>
    <row r="61" spans="1:7" ht="14.85" x14ac:dyDescent="0.25">
      <c r="A61" s="3" t="s">
        <v>376</v>
      </c>
      <c r="B61" s="3" t="s">
        <v>385</v>
      </c>
      <c r="C61" s="7" t="s">
        <v>39</v>
      </c>
      <c r="D61" s="7">
        <v>60</v>
      </c>
      <c r="E61" s="3">
        <f>IF(D61=85, 80, D61)</f>
        <v>60</v>
      </c>
      <c r="F61" s="7" t="s">
        <v>18</v>
      </c>
      <c r="G61" s="3"/>
    </row>
    <row r="62" spans="1:7" ht="14.85" x14ac:dyDescent="0.25">
      <c r="A62" s="3" t="s">
        <v>376</v>
      </c>
      <c r="B62" s="3" t="s">
        <v>387</v>
      </c>
      <c r="C62" s="7" t="s">
        <v>39</v>
      </c>
      <c r="D62" s="7">
        <v>60</v>
      </c>
      <c r="E62" s="3">
        <f>IF(D62=85, 80, D62)</f>
        <v>60</v>
      </c>
      <c r="F62" s="7" t="s">
        <v>24</v>
      </c>
      <c r="G62" s="3"/>
    </row>
    <row r="63" spans="1:7" ht="14.85" x14ac:dyDescent="0.25">
      <c r="A63" s="3" t="s">
        <v>376</v>
      </c>
      <c r="B63" s="3" t="s">
        <v>396</v>
      </c>
      <c r="C63" s="7" t="s">
        <v>39</v>
      </c>
      <c r="D63" s="7">
        <v>60</v>
      </c>
      <c r="E63" s="3">
        <f>IF(D63=85, 80, D63)</f>
        <v>60</v>
      </c>
      <c r="F63" s="7" t="s">
        <v>24</v>
      </c>
      <c r="G63" s="3"/>
    </row>
    <row r="64" spans="1:7" ht="14.85" x14ac:dyDescent="0.25">
      <c r="A64" s="3" t="s">
        <v>376</v>
      </c>
      <c r="B64" s="3" t="s">
        <v>418</v>
      </c>
      <c r="C64" s="7" t="s">
        <v>39</v>
      </c>
      <c r="D64" s="7">
        <v>60</v>
      </c>
      <c r="E64" s="3">
        <f>IF(D64=85, 80, D64)</f>
        <v>60</v>
      </c>
      <c r="F64" s="7" t="s">
        <v>18</v>
      </c>
      <c r="G64" s="3"/>
    </row>
    <row r="65" spans="1:7" ht="14.85" x14ac:dyDescent="0.25">
      <c r="A65" s="3" t="s">
        <v>376</v>
      </c>
      <c r="B65" s="3" t="s">
        <v>423</v>
      </c>
      <c r="C65" s="7" t="s">
        <v>39</v>
      </c>
      <c r="D65" s="7">
        <v>60</v>
      </c>
      <c r="E65" s="3">
        <f>IF(D65=85, 80, D65)</f>
        <v>60</v>
      </c>
      <c r="F65" s="7" t="s">
        <v>18</v>
      </c>
      <c r="G65" s="3"/>
    </row>
    <row r="66" spans="1:7" ht="14.85" x14ac:dyDescent="0.25">
      <c r="A66" s="3" t="s">
        <v>376</v>
      </c>
      <c r="B66" s="3" t="s">
        <v>425</v>
      </c>
      <c r="C66" s="7" t="s">
        <v>39</v>
      </c>
      <c r="D66" s="7">
        <v>60</v>
      </c>
      <c r="E66" s="3">
        <f>IF(D66=85, 80, D66)</f>
        <v>60</v>
      </c>
      <c r="F66" s="7" t="s">
        <v>24</v>
      </c>
      <c r="G66" s="3"/>
    </row>
    <row r="67" spans="1:7" ht="14.85" x14ac:dyDescent="0.25">
      <c r="A67" s="3" t="s">
        <v>376</v>
      </c>
      <c r="B67" s="7" t="s">
        <v>463</v>
      </c>
      <c r="C67" s="7" t="s">
        <v>39</v>
      </c>
      <c r="D67" s="7">
        <v>60</v>
      </c>
      <c r="E67" s="3">
        <f>IF(D67=85, 80, D67)</f>
        <v>60</v>
      </c>
      <c r="F67" s="7" t="s">
        <v>18</v>
      </c>
      <c r="G67" s="3"/>
    </row>
    <row r="68" spans="1:7" ht="14.85" x14ac:dyDescent="0.25">
      <c r="A68" s="3" t="s">
        <v>376</v>
      </c>
      <c r="B68" s="3" t="s">
        <v>446</v>
      </c>
      <c r="C68" s="7" t="s">
        <v>39</v>
      </c>
      <c r="D68" s="7">
        <v>50</v>
      </c>
      <c r="E68" s="3">
        <f>IF(D68=85, 80, D68)</f>
        <v>50</v>
      </c>
      <c r="F68" s="7" t="s">
        <v>24</v>
      </c>
      <c r="G68" s="3"/>
    </row>
    <row r="69" spans="1:7" ht="14.85" x14ac:dyDescent="0.25">
      <c r="A69" s="3" t="s">
        <v>376</v>
      </c>
      <c r="B69" s="3" t="s">
        <v>453</v>
      </c>
      <c r="C69" s="7" t="s">
        <v>39</v>
      </c>
      <c r="E69" s="3">
        <f>IF(D69=85, 80, D69)</f>
        <v>0</v>
      </c>
      <c r="F69" s="3"/>
      <c r="G69" s="3"/>
    </row>
    <row r="70" spans="1:7" ht="14.85" hidden="1" x14ac:dyDescent="0.25">
      <c r="A70" s="3" t="s">
        <v>376</v>
      </c>
      <c r="B70" s="3" t="s">
        <v>399</v>
      </c>
      <c r="C70" s="7" t="s">
        <v>14</v>
      </c>
      <c r="D70" s="7">
        <v>85</v>
      </c>
      <c r="E70" s="3">
        <f>IF(D70=85, 80, D70)</f>
        <v>80</v>
      </c>
      <c r="F70" s="7" t="s">
        <v>32</v>
      </c>
      <c r="G70" s="7" t="s">
        <v>379</v>
      </c>
    </row>
    <row r="71" spans="1:7" ht="14.85" hidden="1" x14ac:dyDescent="0.25">
      <c r="A71" s="3" t="s">
        <v>376</v>
      </c>
      <c r="B71" s="3" t="s">
        <v>386</v>
      </c>
      <c r="C71" s="7" t="s">
        <v>14</v>
      </c>
      <c r="D71" s="7">
        <v>70</v>
      </c>
      <c r="E71" s="3">
        <f>IF(D71=85, 80, D71)</f>
        <v>70</v>
      </c>
      <c r="F71" s="7" t="s">
        <v>18</v>
      </c>
      <c r="G71" s="7" t="s">
        <v>379</v>
      </c>
    </row>
    <row r="72" spans="1:7" ht="14.85" hidden="1" x14ac:dyDescent="0.25">
      <c r="A72" s="3" t="s">
        <v>376</v>
      </c>
      <c r="B72" s="3" t="s">
        <v>378</v>
      </c>
      <c r="C72" s="7" t="s">
        <v>14</v>
      </c>
      <c r="D72" s="7">
        <v>60</v>
      </c>
      <c r="E72" s="3">
        <f>IF(D72=85, 80, D72)</f>
        <v>60</v>
      </c>
      <c r="F72" s="7" t="s">
        <v>18</v>
      </c>
      <c r="G72" s="7" t="s">
        <v>379</v>
      </c>
    </row>
    <row r="73" spans="1:7" ht="14.85" hidden="1" x14ac:dyDescent="0.25">
      <c r="A73" s="3" t="s">
        <v>376</v>
      </c>
      <c r="B73" s="3" t="s">
        <v>392</v>
      </c>
      <c r="C73" s="7" t="s">
        <v>14</v>
      </c>
      <c r="D73" s="7">
        <v>60</v>
      </c>
      <c r="E73" s="3">
        <f>IF(D73=85, 80, D73)</f>
        <v>60</v>
      </c>
      <c r="F73" s="7" t="s">
        <v>32</v>
      </c>
      <c r="G73" s="7" t="s">
        <v>379</v>
      </c>
    </row>
    <row r="74" spans="1:7" ht="14.85" hidden="1" x14ac:dyDescent="0.25">
      <c r="A74" s="3" t="s">
        <v>376</v>
      </c>
      <c r="B74" s="3" t="s">
        <v>419</v>
      </c>
      <c r="C74" s="7" t="s">
        <v>14</v>
      </c>
      <c r="D74" s="7">
        <v>60</v>
      </c>
      <c r="E74" s="3">
        <f>IF(D74=85, 80, D74)</f>
        <v>60</v>
      </c>
      <c r="F74" s="7" t="s">
        <v>18</v>
      </c>
      <c r="G74" s="7" t="s">
        <v>379</v>
      </c>
    </row>
    <row r="75" spans="1:7" ht="14.85" hidden="1" x14ac:dyDescent="0.25">
      <c r="A75" s="3" t="s">
        <v>376</v>
      </c>
      <c r="B75" s="3" t="s">
        <v>380</v>
      </c>
      <c r="C75" s="7" t="s">
        <v>14</v>
      </c>
      <c r="D75" s="7">
        <v>50</v>
      </c>
      <c r="E75" s="3">
        <f>IF(D75=85, 80, D75)</f>
        <v>50</v>
      </c>
      <c r="F75" s="7" t="s">
        <v>32</v>
      </c>
      <c r="G75" s="7" t="s">
        <v>379</v>
      </c>
    </row>
    <row r="76" spans="1:7" ht="14.85" x14ac:dyDescent="0.25">
      <c r="A76" s="3" t="s">
        <v>376</v>
      </c>
      <c r="B76" s="3" t="s">
        <v>413</v>
      </c>
      <c r="C76" s="7" t="s">
        <v>14</v>
      </c>
      <c r="D76" s="7">
        <v>100</v>
      </c>
      <c r="E76" s="3">
        <f>IF(D76=85, 80, D76)</f>
        <v>100</v>
      </c>
      <c r="F76" s="7" t="s">
        <v>60</v>
      </c>
      <c r="G76" s="3"/>
    </row>
    <row r="77" spans="1:7" ht="14.85" x14ac:dyDescent="0.25">
      <c r="A77" s="3" t="s">
        <v>376</v>
      </c>
      <c r="B77" s="3" t="s">
        <v>398</v>
      </c>
      <c r="C77" s="7" t="s">
        <v>14</v>
      </c>
      <c r="D77" s="7">
        <v>85</v>
      </c>
      <c r="E77" s="3">
        <f>IF(D77=85, 80, D77)</f>
        <v>80</v>
      </c>
      <c r="F77" s="7" t="s">
        <v>24</v>
      </c>
      <c r="G77" s="3"/>
    </row>
    <row r="78" spans="1:7" ht="14.85" x14ac:dyDescent="0.25">
      <c r="A78" s="3" t="s">
        <v>376</v>
      </c>
      <c r="B78" s="3" t="s">
        <v>414</v>
      </c>
      <c r="C78" s="7" t="s">
        <v>14</v>
      </c>
      <c r="D78" s="7">
        <v>85</v>
      </c>
      <c r="E78" s="3">
        <f>IF(D78=85, 80, D78)</f>
        <v>80</v>
      </c>
      <c r="F78" s="7" t="s">
        <v>32</v>
      </c>
      <c r="G78" s="3"/>
    </row>
    <row r="79" spans="1:7" ht="14.85" x14ac:dyDescent="0.25">
      <c r="A79" s="3" t="s">
        <v>376</v>
      </c>
      <c r="B79" s="7" t="s">
        <v>465</v>
      </c>
      <c r="C79" s="7" t="s">
        <v>14</v>
      </c>
      <c r="D79" s="7">
        <v>85</v>
      </c>
      <c r="E79" s="3">
        <f>IF(D79=85, 80, D79)</f>
        <v>80</v>
      </c>
      <c r="F79" s="7" t="s">
        <v>18</v>
      </c>
      <c r="G79" s="3"/>
    </row>
    <row r="80" spans="1:7" ht="14.85" x14ac:dyDescent="0.25">
      <c r="A80" s="3" t="s">
        <v>376</v>
      </c>
      <c r="B80" s="3" t="s">
        <v>401</v>
      </c>
      <c r="C80" s="7" t="s">
        <v>14</v>
      </c>
      <c r="D80" s="7">
        <v>70</v>
      </c>
      <c r="E80" s="3">
        <f>IF(D80=85, 80, D80)</f>
        <v>70</v>
      </c>
      <c r="F80" s="7" t="s">
        <v>24</v>
      </c>
      <c r="G80" s="3"/>
    </row>
    <row r="81" spans="1:7" ht="14.85" x14ac:dyDescent="0.25">
      <c r="A81" s="3" t="s">
        <v>376</v>
      </c>
      <c r="B81" s="3" t="s">
        <v>424</v>
      </c>
      <c r="C81" s="7" t="s">
        <v>14</v>
      </c>
      <c r="D81" s="7">
        <v>70</v>
      </c>
      <c r="E81" s="3">
        <f>IF(D81=85, 80, D81)</f>
        <v>70</v>
      </c>
      <c r="F81" s="7" t="s">
        <v>24</v>
      </c>
      <c r="G81" s="3"/>
    </row>
    <row r="82" spans="1:7" ht="14.85" x14ac:dyDescent="0.25">
      <c r="A82" s="3" t="s">
        <v>376</v>
      </c>
      <c r="B82" s="3" t="s">
        <v>442</v>
      </c>
      <c r="C82" s="7" t="s">
        <v>14</v>
      </c>
      <c r="D82" s="7">
        <v>70</v>
      </c>
      <c r="E82" s="3">
        <f>IF(D82=85, 80, D82)</f>
        <v>70</v>
      </c>
      <c r="F82" s="7" t="s">
        <v>32</v>
      </c>
      <c r="G82" s="3"/>
    </row>
    <row r="83" spans="1:7" ht="14.85" x14ac:dyDescent="0.25">
      <c r="A83" s="3" t="s">
        <v>376</v>
      </c>
      <c r="B83" s="3" t="s">
        <v>449</v>
      </c>
      <c r="C83" s="7" t="s">
        <v>14</v>
      </c>
      <c r="D83" s="7">
        <v>70</v>
      </c>
      <c r="E83" s="3">
        <f>IF(D83=85, 80, D83)</f>
        <v>70</v>
      </c>
      <c r="F83" s="7" t="s">
        <v>24</v>
      </c>
      <c r="G83" s="3"/>
    </row>
    <row r="84" spans="1:7" ht="14.85" x14ac:dyDescent="0.25">
      <c r="A84" s="3" t="s">
        <v>376</v>
      </c>
      <c r="B84" s="3" t="s">
        <v>450</v>
      </c>
      <c r="C84" s="7" t="s">
        <v>14</v>
      </c>
      <c r="D84" s="7">
        <v>70</v>
      </c>
      <c r="E84" s="3">
        <f>IF(D84=85, 80, D84)</f>
        <v>70</v>
      </c>
      <c r="F84" s="7" t="s">
        <v>24</v>
      </c>
      <c r="G84" s="3"/>
    </row>
    <row r="85" spans="1:7" ht="14.85" x14ac:dyDescent="0.25">
      <c r="A85" s="3" t="s">
        <v>376</v>
      </c>
      <c r="B85" s="3" t="s">
        <v>389</v>
      </c>
      <c r="C85" s="7" t="s">
        <v>14</v>
      </c>
      <c r="D85" s="7">
        <v>60</v>
      </c>
      <c r="E85" s="3">
        <f>IF(D85=85, 80, D85)</f>
        <v>60</v>
      </c>
      <c r="F85" s="7" t="s">
        <v>24</v>
      </c>
      <c r="G85" s="3"/>
    </row>
    <row r="86" spans="1:7" ht="14.85" x14ac:dyDescent="0.25">
      <c r="A86" s="3" t="s">
        <v>376</v>
      </c>
      <c r="B86" s="3" t="s">
        <v>409</v>
      </c>
      <c r="C86" s="7" t="s">
        <v>14</v>
      </c>
      <c r="D86" s="7">
        <v>60</v>
      </c>
      <c r="E86" s="3">
        <f>IF(D86=85, 80, D86)</f>
        <v>60</v>
      </c>
      <c r="F86" s="7" t="s">
        <v>18</v>
      </c>
      <c r="G86" s="3"/>
    </row>
    <row r="87" spans="1:7" ht="14.85" x14ac:dyDescent="0.25">
      <c r="A87" s="3" t="s">
        <v>376</v>
      </c>
      <c r="B87" s="3" t="s">
        <v>439</v>
      </c>
      <c r="C87" s="7" t="s">
        <v>14</v>
      </c>
      <c r="D87" s="7">
        <v>60</v>
      </c>
      <c r="E87" s="3">
        <f>IF(D87=85, 80, D87)</f>
        <v>60</v>
      </c>
      <c r="F87" s="7" t="s">
        <v>24</v>
      </c>
      <c r="G87" s="3"/>
    </row>
    <row r="88" spans="1:7" ht="14.85" x14ac:dyDescent="0.25">
      <c r="A88" s="3" t="s">
        <v>376</v>
      </c>
      <c r="B88" s="3" t="s">
        <v>397</v>
      </c>
      <c r="C88" s="7" t="s">
        <v>14</v>
      </c>
      <c r="D88" s="7">
        <v>50</v>
      </c>
      <c r="E88" s="3">
        <f>IF(D88=85, 80, D88)</f>
        <v>50</v>
      </c>
      <c r="F88" s="7" t="s">
        <v>32</v>
      </c>
      <c r="G88" s="3"/>
    </row>
    <row r="89" spans="1:7" ht="14.85" x14ac:dyDescent="0.25">
      <c r="A89" s="3" t="s">
        <v>376</v>
      </c>
      <c r="B89" s="3" t="s">
        <v>434</v>
      </c>
      <c r="C89" s="7" t="s">
        <v>14</v>
      </c>
      <c r="D89" s="7">
        <v>50</v>
      </c>
      <c r="E89" s="3">
        <f>IF(D89=85, 80, D89)</f>
        <v>50</v>
      </c>
      <c r="F89" s="7" t="s">
        <v>11</v>
      </c>
      <c r="G89" s="3"/>
    </row>
    <row r="90" spans="1:7" ht="14.85" x14ac:dyDescent="0.25">
      <c r="A90" s="3" t="s">
        <v>376</v>
      </c>
      <c r="B90" s="3" t="s">
        <v>438</v>
      </c>
      <c r="C90" s="7" t="s">
        <v>14</v>
      </c>
      <c r="D90" s="7">
        <v>50</v>
      </c>
      <c r="E90" s="3">
        <f>IF(D90=85, 80, D90)</f>
        <v>50</v>
      </c>
      <c r="F90" s="7" t="s">
        <v>18</v>
      </c>
      <c r="G90" s="3"/>
    </row>
    <row r="91" spans="1:7" ht="14.85" x14ac:dyDescent="0.25">
      <c r="A91" s="3" t="s">
        <v>376</v>
      </c>
      <c r="B91" s="7" t="s">
        <v>462</v>
      </c>
      <c r="C91" s="7" t="s">
        <v>14</v>
      </c>
      <c r="D91" s="7">
        <v>50</v>
      </c>
      <c r="E91" s="3">
        <f>IF(D91=85, 80, D91)</f>
        <v>50</v>
      </c>
      <c r="F91" s="7" t="s">
        <v>18</v>
      </c>
      <c r="G91" s="3"/>
    </row>
    <row r="92" spans="1:7" ht="14.85" x14ac:dyDescent="0.25">
      <c r="A92" s="3" t="s">
        <v>376</v>
      </c>
      <c r="B92" s="7" t="s">
        <v>457</v>
      </c>
      <c r="C92" s="7" t="s">
        <v>192</v>
      </c>
      <c r="D92" s="7">
        <v>30</v>
      </c>
      <c r="E92" s="3">
        <f>IF(D92=85, 80, D92)</f>
        <v>30</v>
      </c>
      <c r="F92" s="7" t="s">
        <v>18</v>
      </c>
      <c r="G92" s="3"/>
    </row>
    <row r="93" spans="1:7" ht="14.85" x14ac:dyDescent="0.25">
      <c r="A93" s="3" t="s">
        <v>376</v>
      </c>
      <c r="B93" s="7" t="s">
        <v>458</v>
      </c>
      <c r="C93" s="7" t="s">
        <v>192</v>
      </c>
      <c r="D93" s="7">
        <v>30</v>
      </c>
      <c r="E93" s="3">
        <f>IF(D93=85, 80, D93)</f>
        <v>30</v>
      </c>
      <c r="F93" s="7" t="s">
        <v>18</v>
      </c>
      <c r="G93" s="3"/>
    </row>
    <row r="94" spans="1:7" ht="14.85" x14ac:dyDescent="0.25">
      <c r="A94" s="3" t="s">
        <v>376</v>
      </c>
      <c r="B94" s="7" t="s">
        <v>459</v>
      </c>
      <c r="C94" s="7" t="s">
        <v>192</v>
      </c>
      <c r="D94" s="7">
        <v>30</v>
      </c>
      <c r="E94" s="3">
        <f>IF(D94=85, 80, D94)</f>
        <v>30</v>
      </c>
      <c r="F94" s="7" t="s">
        <v>18</v>
      </c>
      <c r="G94" s="3"/>
    </row>
    <row r="95" spans="1:7" ht="14.85" x14ac:dyDescent="0.25">
      <c r="C95" s="3"/>
      <c r="F95" s="3"/>
      <c r="G95" s="3"/>
    </row>
    <row r="96" spans="1:7" ht="14.85" x14ac:dyDescent="0.25">
      <c r="C96" s="3"/>
      <c r="F96" s="3"/>
      <c r="G96" s="3"/>
    </row>
    <row r="97" spans="3:7" ht="14.85" x14ac:dyDescent="0.25">
      <c r="C97" s="3"/>
      <c r="F97" s="3"/>
      <c r="G97" s="3"/>
    </row>
    <row r="98" spans="3:7" ht="14.85" x14ac:dyDescent="0.25">
      <c r="C98" s="3"/>
      <c r="F98" s="3"/>
      <c r="G98" s="3"/>
    </row>
    <row r="99" spans="3:7" ht="14.85" x14ac:dyDescent="0.25">
      <c r="C99" s="3"/>
      <c r="F99" s="3"/>
      <c r="G99" s="3"/>
    </row>
    <row r="100" spans="3:7" ht="14.85" x14ac:dyDescent="0.25">
      <c r="C100" s="3"/>
      <c r="F100" s="3"/>
      <c r="G100" s="3"/>
    </row>
    <row r="101" spans="3:7" ht="14.85" x14ac:dyDescent="0.25">
      <c r="C101" s="3"/>
      <c r="F101" s="3"/>
      <c r="G101" s="3"/>
    </row>
    <row r="102" spans="3:7" ht="14.85" x14ac:dyDescent="0.25">
      <c r="C102" s="3"/>
      <c r="F102" s="3"/>
      <c r="G102" s="3"/>
    </row>
    <row r="103" spans="3:7" ht="14.85" x14ac:dyDescent="0.25">
      <c r="C103" s="3"/>
      <c r="F103" s="3"/>
      <c r="G103" s="3"/>
    </row>
    <row r="104" spans="3:7" ht="14.85" x14ac:dyDescent="0.25">
      <c r="C104" s="3"/>
      <c r="F104" s="3"/>
      <c r="G104" s="3"/>
    </row>
    <row r="105" spans="3:7" ht="14.85" x14ac:dyDescent="0.25">
      <c r="C105" s="3"/>
      <c r="F105" s="3"/>
      <c r="G105" s="3"/>
    </row>
    <row r="106" spans="3:7" ht="14.85" x14ac:dyDescent="0.25">
      <c r="C106" s="3"/>
      <c r="F106" s="3"/>
      <c r="G106" s="3"/>
    </row>
    <row r="107" spans="3:7" ht="14.85" x14ac:dyDescent="0.25">
      <c r="C107" s="3"/>
      <c r="F107" s="3"/>
      <c r="G107" s="3"/>
    </row>
    <row r="108" spans="3:7" ht="14.85" x14ac:dyDescent="0.25">
      <c r="C108" s="3"/>
      <c r="F108" s="3"/>
      <c r="G108" s="3"/>
    </row>
    <row r="109" spans="3:7" ht="14.85" x14ac:dyDescent="0.25">
      <c r="C109" s="3"/>
      <c r="F109" s="3"/>
      <c r="G109" s="3"/>
    </row>
    <row r="110" spans="3:7" ht="14.85" x14ac:dyDescent="0.25">
      <c r="C110" s="3"/>
      <c r="F110" s="3"/>
      <c r="G110" s="3"/>
    </row>
    <row r="111" spans="3:7" ht="14.85" x14ac:dyDescent="0.25">
      <c r="C111" s="3"/>
      <c r="F111" s="3"/>
      <c r="G111" s="3"/>
    </row>
    <row r="112" spans="3:7" ht="14.85" x14ac:dyDescent="0.25">
      <c r="C112" s="3"/>
      <c r="F112" s="3"/>
      <c r="G112" s="3"/>
    </row>
    <row r="113" spans="3:7" ht="14.85" x14ac:dyDescent="0.25">
      <c r="C113" s="3"/>
      <c r="F113" s="3"/>
      <c r="G113" s="3"/>
    </row>
    <row r="114" spans="3:7" ht="14.85" x14ac:dyDescent="0.25">
      <c r="C114" s="3"/>
      <c r="F114" s="3"/>
      <c r="G114" s="3"/>
    </row>
    <row r="115" spans="3:7" ht="14.85" x14ac:dyDescent="0.25">
      <c r="C115" s="3"/>
      <c r="F115" s="3"/>
      <c r="G115" s="3"/>
    </row>
    <row r="116" spans="3:7" ht="14.85" x14ac:dyDescent="0.25">
      <c r="C116" s="3"/>
      <c r="F116" s="3"/>
      <c r="G116" s="3"/>
    </row>
    <row r="117" spans="3:7" ht="14.85" x14ac:dyDescent="0.25">
      <c r="C117" s="3"/>
      <c r="F117" s="3"/>
      <c r="G117" s="3"/>
    </row>
    <row r="118" spans="3:7" ht="14.85" x14ac:dyDescent="0.25">
      <c r="C118" s="3"/>
      <c r="F118" s="3"/>
      <c r="G118" s="3"/>
    </row>
    <row r="119" spans="3:7" ht="14.85" x14ac:dyDescent="0.25">
      <c r="C119" s="3"/>
      <c r="F119" s="3"/>
      <c r="G119" s="3"/>
    </row>
    <row r="120" spans="3:7" ht="14.85" x14ac:dyDescent="0.25">
      <c r="C120" s="3"/>
      <c r="F120" s="3"/>
      <c r="G120" s="3"/>
    </row>
    <row r="121" spans="3:7" ht="14.85" x14ac:dyDescent="0.25">
      <c r="C121" s="3"/>
      <c r="F121" s="3"/>
      <c r="G121" s="3"/>
    </row>
    <row r="122" spans="3:7" ht="14.85" x14ac:dyDescent="0.25">
      <c r="C122" s="3"/>
      <c r="F122" s="3"/>
      <c r="G122" s="3"/>
    </row>
    <row r="123" spans="3:7" ht="14.85" x14ac:dyDescent="0.25">
      <c r="C123" s="3"/>
      <c r="F123" s="3"/>
      <c r="G123" s="3"/>
    </row>
    <row r="124" spans="3:7" ht="14.85" x14ac:dyDescent="0.25">
      <c r="C124" s="3"/>
      <c r="F124" s="3"/>
      <c r="G124" s="3"/>
    </row>
    <row r="125" spans="3:7" ht="14.85" x14ac:dyDescent="0.25">
      <c r="C125" s="3"/>
      <c r="F125" s="3"/>
      <c r="G125" s="3"/>
    </row>
    <row r="126" spans="3:7" ht="14.85" x14ac:dyDescent="0.25">
      <c r="C126" s="3"/>
      <c r="F126" s="3"/>
      <c r="G126" s="3"/>
    </row>
    <row r="127" spans="3:7" ht="14.85" x14ac:dyDescent="0.25">
      <c r="C127" s="3"/>
      <c r="F127" s="3"/>
      <c r="G127" s="3"/>
    </row>
    <row r="128" spans="3:7" ht="14.85" x14ac:dyDescent="0.25">
      <c r="C128" s="3"/>
      <c r="F128" s="3"/>
      <c r="G128" s="3"/>
    </row>
    <row r="129" spans="3:7" ht="14.85" x14ac:dyDescent="0.25">
      <c r="C129" s="3"/>
      <c r="F129" s="3"/>
      <c r="G129" s="3"/>
    </row>
    <row r="130" spans="3:7" ht="14.85" x14ac:dyDescent="0.25">
      <c r="C130" s="3"/>
      <c r="F130" s="3"/>
      <c r="G130" s="3"/>
    </row>
    <row r="131" spans="3:7" ht="14.85" x14ac:dyDescent="0.25">
      <c r="C131" s="3"/>
      <c r="F131" s="3"/>
      <c r="G131" s="3"/>
    </row>
    <row r="132" spans="3:7" ht="14.85" x14ac:dyDescent="0.25">
      <c r="C132" s="3"/>
      <c r="F132" s="3"/>
      <c r="G132" s="3"/>
    </row>
    <row r="133" spans="3:7" ht="14.85" x14ac:dyDescent="0.25">
      <c r="C133" s="3"/>
      <c r="F133" s="3"/>
      <c r="G133" s="3"/>
    </row>
    <row r="134" spans="3:7" ht="14.85" x14ac:dyDescent="0.25">
      <c r="C134" s="3"/>
      <c r="F134" s="3"/>
      <c r="G134" s="3"/>
    </row>
    <row r="135" spans="3:7" ht="14.85" x14ac:dyDescent="0.25">
      <c r="C135" s="3"/>
      <c r="F135" s="3"/>
      <c r="G135" s="3"/>
    </row>
    <row r="136" spans="3:7" ht="14.85" x14ac:dyDescent="0.25">
      <c r="C136" s="3"/>
      <c r="F136" s="3"/>
      <c r="G136" s="3"/>
    </row>
    <row r="137" spans="3:7" ht="14.85" x14ac:dyDescent="0.25">
      <c r="C137" s="3"/>
      <c r="F137" s="3"/>
      <c r="G137" s="3"/>
    </row>
    <row r="138" spans="3:7" ht="14.85" x14ac:dyDescent="0.25">
      <c r="C138" s="3"/>
      <c r="F138" s="3"/>
      <c r="G138" s="3"/>
    </row>
    <row r="139" spans="3:7" ht="14.85" x14ac:dyDescent="0.25">
      <c r="C139" s="3"/>
      <c r="F139" s="3"/>
      <c r="G139" s="3"/>
    </row>
    <row r="140" spans="3:7" ht="14.85" x14ac:dyDescent="0.25">
      <c r="C140" s="3"/>
      <c r="F140" s="3"/>
      <c r="G140" s="3"/>
    </row>
    <row r="141" spans="3:7" ht="14.85" x14ac:dyDescent="0.25">
      <c r="C141" s="3"/>
      <c r="F141" s="3"/>
      <c r="G141" s="3"/>
    </row>
    <row r="142" spans="3:7" ht="14.85" x14ac:dyDescent="0.25">
      <c r="C142" s="3"/>
      <c r="F142" s="3"/>
      <c r="G142" s="3"/>
    </row>
    <row r="143" spans="3:7" ht="14.85" x14ac:dyDescent="0.25">
      <c r="C143" s="3"/>
      <c r="F143" s="3"/>
      <c r="G143" s="3"/>
    </row>
    <row r="144" spans="3:7" ht="14.85" x14ac:dyDescent="0.25">
      <c r="C144" s="3"/>
      <c r="F144" s="3"/>
      <c r="G144" s="3"/>
    </row>
    <row r="145" spans="3:7" ht="14.85" x14ac:dyDescent="0.25">
      <c r="C145" s="3"/>
      <c r="F145" s="3"/>
      <c r="G145" s="3"/>
    </row>
    <row r="146" spans="3:7" ht="14.85" x14ac:dyDescent="0.25">
      <c r="C146" s="3"/>
      <c r="F146" s="3"/>
      <c r="G146" s="3"/>
    </row>
    <row r="147" spans="3:7" ht="14.85" x14ac:dyDescent="0.25">
      <c r="C147" s="3"/>
      <c r="F147" s="3"/>
      <c r="G147" s="3"/>
    </row>
    <row r="148" spans="3:7" ht="14.85" x14ac:dyDescent="0.25">
      <c r="C148" s="3"/>
      <c r="F148" s="3"/>
      <c r="G148" s="3"/>
    </row>
    <row r="149" spans="3:7" ht="14.85" x14ac:dyDescent="0.25">
      <c r="C149" s="3"/>
      <c r="F149" s="3"/>
      <c r="G149" s="3"/>
    </row>
    <row r="150" spans="3:7" ht="14.85" x14ac:dyDescent="0.25">
      <c r="C150" s="3"/>
      <c r="F150" s="3"/>
      <c r="G150" s="3"/>
    </row>
    <row r="151" spans="3:7" ht="14.85" x14ac:dyDescent="0.25">
      <c r="C151" s="3"/>
      <c r="F151" s="3"/>
      <c r="G151" s="3"/>
    </row>
    <row r="152" spans="3:7" ht="14.85" x14ac:dyDescent="0.25">
      <c r="C152" s="3"/>
      <c r="F152" s="3"/>
      <c r="G152" s="3"/>
    </row>
    <row r="153" spans="3:7" ht="14.85" x14ac:dyDescent="0.25">
      <c r="C153" s="3"/>
      <c r="F153" s="3"/>
      <c r="G153" s="3"/>
    </row>
    <row r="154" spans="3:7" ht="14.85" x14ac:dyDescent="0.25">
      <c r="C154" s="3"/>
      <c r="F154" s="3"/>
      <c r="G154" s="3"/>
    </row>
    <row r="155" spans="3:7" ht="14.85" x14ac:dyDescent="0.25">
      <c r="C155" s="3"/>
      <c r="F155" s="3"/>
      <c r="G155" s="3"/>
    </row>
    <row r="156" spans="3:7" ht="14.85" x14ac:dyDescent="0.25">
      <c r="C156" s="3"/>
      <c r="F156" s="3"/>
      <c r="G156" s="3"/>
    </row>
    <row r="157" spans="3:7" ht="14.85" x14ac:dyDescent="0.25">
      <c r="C157" s="3"/>
      <c r="F157" s="3"/>
      <c r="G157" s="3"/>
    </row>
    <row r="158" spans="3:7" ht="14.85" x14ac:dyDescent="0.25">
      <c r="C158" s="3"/>
      <c r="F158" s="3"/>
      <c r="G158" s="3"/>
    </row>
    <row r="159" spans="3:7" ht="14.85" x14ac:dyDescent="0.25">
      <c r="C159" s="3"/>
      <c r="F159" s="3"/>
      <c r="G159" s="3"/>
    </row>
    <row r="160" spans="3:7" ht="14.85" x14ac:dyDescent="0.25">
      <c r="C160" s="3"/>
      <c r="F160" s="3"/>
      <c r="G160" s="3"/>
    </row>
    <row r="161" spans="3:7" ht="14.85" x14ac:dyDescent="0.25">
      <c r="C161" s="3"/>
      <c r="F161" s="3"/>
      <c r="G161" s="3"/>
    </row>
    <row r="162" spans="3:7" ht="14.85" x14ac:dyDescent="0.25">
      <c r="C162" s="3"/>
      <c r="F162" s="3"/>
      <c r="G162" s="3"/>
    </row>
    <row r="163" spans="3:7" ht="14.85" x14ac:dyDescent="0.25">
      <c r="C163" s="3"/>
      <c r="F163" s="3"/>
      <c r="G163" s="3"/>
    </row>
    <row r="164" spans="3:7" ht="14.85" x14ac:dyDescent="0.25">
      <c r="C164" s="3"/>
      <c r="F164" s="3"/>
      <c r="G164" s="3"/>
    </row>
    <row r="165" spans="3:7" ht="14.85" x14ac:dyDescent="0.25">
      <c r="C165" s="3"/>
      <c r="F165" s="3"/>
      <c r="G165" s="3"/>
    </row>
    <row r="166" spans="3:7" ht="14.85" x14ac:dyDescent="0.25">
      <c r="C166" s="3"/>
      <c r="F166" s="3"/>
      <c r="G166" s="3"/>
    </row>
    <row r="167" spans="3:7" ht="14.85" x14ac:dyDescent="0.25">
      <c r="C167" s="3"/>
      <c r="F167" s="3"/>
      <c r="G167" s="3"/>
    </row>
    <row r="168" spans="3:7" ht="14.85" x14ac:dyDescent="0.25">
      <c r="C168" s="3"/>
      <c r="F168" s="3"/>
      <c r="G168" s="3"/>
    </row>
    <row r="169" spans="3:7" ht="14.85" x14ac:dyDescent="0.25">
      <c r="C169" s="3"/>
      <c r="F169" s="3"/>
      <c r="G169" s="3"/>
    </row>
    <row r="170" spans="3:7" ht="14.85" x14ac:dyDescent="0.25">
      <c r="C170" s="3"/>
      <c r="F170" s="3"/>
      <c r="G170" s="3"/>
    </row>
    <row r="171" spans="3:7" ht="14.85" x14ac:dyDescent="0.25">
      <c r="C171" s="3"/>
      <c r="F171" s="3"/>
      <c r="G171" s="3"/>
    </row>
    <row r="172" spans="3:7" ht="14.85" x14ac:dyDescent="0.25">
      <c r="C172" s="3"/>
      <c r="F172" s="3"/>
      <c r="G172" s="3"/>
    </row>
    <row r="173" spans="3:7" ht="14.85" x14ac:dyDescent="0.25">
      <c r="C173" s="3"/>
      <c r="F173" s="3"/>
      <c r="G173" s="3"/>
    </row>
    <row r="174" spans="3:7" ht="14.85" x14ac:dyDescent="0.25">
      <c r="C174" s="3"/>
      <c r="F174" s="3"/>
      <c r="G174" s="3"/>
    </row>
    <row r="175" spans="3:7" ht="14.85" x14ac:dyDescent="0.25">
      <c r="C175" s="3"/>
      <c r="F175" s="3"/>
      <c r="G175" s="3"/>
    </row>
    <row r="176" spans="3:7" ht="14.85" x14ac:dyDescent="0.25">
      <c r="C176" s="3"/>
      <c r="F176" s="3"/>
      <c r="G176" s="3"/>
    </row>
    <row r="177" spans="3:7" ht="14.85" x14ac:dyDescent="0.25">
      <c r="C177" s="3"/>
      <c r="F177" s="3"/>
      <c r="G177" s="3"/>
    </row>
    <row r="178" spans="3:7" ht="14.85" x14ac:dyDescent="0.25">
      <c r="C178" s="3"/>
      <c r="F178" s="3"/>
      <c r="G178" s="3"/>
    </row>
    <row r="179" spans="3:7" ht="14.85" x14ac:dyDescent="0.25">
      <c r="C179" s="3"/>
      <c r="F179" s="3"/>
      <c r="G179" s="3"/>
    </row>
    <row r="180" spans="3:7" ht="14.85" x14ac:dyDescent="0.25">
      <c r="C180" s="3"/>
      <c r="F180" s="3"/>
      <c r="G180" s="3"/>
    </row>
    <row r="181" spans="3:7" ht="14.85" x14ac:dyDescent="0.25">
      <c r="C181" s="3"/>
      <c r="F181" s="3"/>
      <c r="G181" s="3"/>
    </row>
    <row r="182" spans="3:7" ht="14.85" x14ac:dyDescent="0.25">
      <c r="C182" s="3"/>
      <c r="F182" s="3"/>
      <c r="G182" s="3"/>
    </row>
    <row r="183" spans="3:7" ht="14.85" x14ac:dyDescent="0.25">
      <c r="C183" s="3"/>
      <c r="F183" s="3"/>
      <c r="G183" s="3"/>
    </row>
    <row r="184" spans="3:7" ht="14.85" x14ac:dyDescent="0.25">
      <c r="C184" s="3"/>
      <c r="F184" s="3"/>
      <c r="G184" s="3"/>
    </row>
    <row r="185" spans="3:7" ht="14.85" x14ac:dyDescent="0.25">
      <c r="C185" s="3"/>
      <c r="F185" s="3"/>
      <c r="G185" s="3"/>
    </row>
    <row r="186" spans="3:7" ht="14.85" x14ac:dyDescent="0.25">
      <c r="C186" s="3"/>
      <c r="F186" s="3"/>
      <c r="G186" s="3"/>
    </row>
    <row r="187" spans="3:7" ht="14.85" x14ac:dyDescent="0.25">
      <c r="C187" s="3"/>
      <c r="F187" s="3"/>
      <c r="G187" s="3"/>
    </row>
    <row r="188" spans="3:7" ht="14.85" x14ac:dyDescent="0.25">
      <c r="C188" s="3"/>
      <c r="F188" s="3"/>
      <c r="G188" s="3"/>
    </row>
    <row r="189" spans="3:7" ht="14.85" x14ac:dyDescent="0.25">
      <c r="C189" s="3"/>
      <c r="F189" s="3"/>
      <c r="G189" s="3"/>
    </row>
    <row r="190" spans="3:7" ht="14.85" x14ac:dyDescent="0.25">
      <c r="C190" s="3"/>
      <c r="F190" s="3"/>
      <c r="G190" s="3"/>
    </row>
    <row r="191" spans="3:7" ht="14.85" x14ac:dyDescent="0.25">
      <c r="C191" s="3"/>
      <c r="F191" s="3"/>
      <c r="G191" s="3"/>
    </row>
    <row r="192" spans="3:7" ht="14.85" x14ac:dyDescent="0.25">
      <c r="C192" s="3"/>
      <c r="F192" s="3"/>
      <c r="G192" s="3"/>
    </row>
    <row r="193" spans="3:7" ht="14.85" x14ac:dyDescent="0.25">
      <c r="C193" s="3"/>
      <c r="F193" s="3"/>
      <c r="G193" s="3"/>
    </row>
    <row r="194" spans="3:7" ht="14.85" x14ac:dyDescent="0.25">
      <c r="C194" s="3"/>
      <c r="F194" s="3"/>
      <c r="G194" s="3"/>
    </row>
    <row r="195" spans="3:7" ht="14.85" x14ac:dyDescent="0.25">
      <c r="C195" s="3"/>
      <c r="F195" s="3"/>
      <c r="G195" s="3"/>
    </row>
    <row r="196" spans="3:7" ht="14.85" x14ac:dyDescent="0.25">
      <c r="C196" s="3"/>
      <c r="F196" s="3"/>
      <c r="G196" s="3"/>
    </row>
    <row r="197" spans="3:7" ht="14.85" x14ac:dyDescent="0.25">
      <c r="C197" s="3"/>
      <c r="F197" s="3"/>
      <c r="G197" s="3"/>
    </row>
    <row r="198" spans="3:7" ht="14.85" x14ac:dyDescent="0.25">
      <c r="C198" s="3"/>
      <c r="F198" s="3"/>
      <c r="G198" s="3"/>
    </row>
    <row r="199" spans="3:7" ht="14.85" x14ac:dyDescent="0.25">
      <c r="C199" s="3"/>
      <c r="F199" s="3"/>
      <c r="G199" s="3"/>
    </row>
    <row r="200" spans="3:7" ht="14.85" x14ac:dyDescent="0.25">
      <c r="C200" s="3"/>
      <c r="F200" s="3"/>
      <c r="G200" s="3"/>
    </row>
    <row r="201" spans="3:7" ht="14.85" x14ac:dyDescent="0.25">
      <c r="C201" s="3"/>
      <c r="F201" s="3"/>
      <c r="G201" s="3"/>
    </row>
    <row r="202" spans="3:7" ht="14.85" x14ac:dyDescent="0.25">
      <c r="C202" s="3"/>
      <c r="F202" s="3"/>
      <c r="G202" s="3"/>
    </row>
    <row r="203" spans="3:7" ht="14.85" x14ac:dyDescent="0.25">
      <c r="C203" s="3"/>
      <c r="F203" s="3"/>
      <c r="G203" s="3"/>
    </row>
    <row r="204" spans="3:7" ht="14.85" x14ac:dyDescent="0.25">
      <c r="C204" s="3"/>
      <c r="F204" s="3"/>
      <c r="G204" s="3"/>
    </row>
    <row r="205" spans="3:7" ht="14.85" x14ac:dyDescent="0.25">
      <c r="C205" s="3"/>
      <c r="F205" s="3"/>
      <c r="G205" s="3"/>
    </row>
    <row r="206" spans="3:7" ht="14.85" x14ac:dyDescent="0.25">
      <c r="C206" s="3"/>
      <c r="F206" s="3"/>
      <c r="G206" s="3"/>
    </row>
    <row r="207" spans="3:7" ht="14.85" x14ac:dyDescent="0.25">
      <c r="C207" s="3"/>
      <c r="F207" s="3"/>
      <c r="G207" s="3"/>
    </row>
    <row r="208" spans="3:7" ht="14.85" x14ac:dyDescent="0.25">
      <c r="C208" s="3"/>
      <c r="F208" s="3"/>
      <c r="G208" s="3"/>
    </row>
    <row r="209" spans="3:7" ht="14.85" x14ac:dyDescent="0.25">
      <c r="C209" s="3"/>
      <c r="F209" s="3"/>
      <c r="G209" s="3"/>
    </row>
    <row r="210" spans="3:7" ht="14.85" x14ac:dyDescent="0.25">
      <c r="C210" s="3"/>
      <c r="F210" s="3"/>
      <c r="G210" s="3"/>
    </row>
    <row r="211" spans="3:7" ht="14.85" x14ac:dyDescent="0.25">
      <c r="C211" s="3"/>
      <c r="F211" s="3"/>
      <c r="G211" s="3"/>
    </row>
    <row r="212" spans="3:7" ht="14.85" x14ac:dyDescent="0.25">
      <c r="C212" s="3"/>
      <c r="F212" s="3"/>
      <c r="G212" s="3"/>
    </row>
    <row r="213" spans="3:7" ht="14.85" x14ac:dyDescent="0.25">
      <c r="C213" s="3"/>
      <c r="F213" s="3"/>
      <c r="G213" s="3"/>
    </row>
    <row r="214" spans="3:7" ht="14.85" x14ac:dyDescent="0.25">
      <c r="C214" s="3"/>
      <c r="F214" s="3"/>
      <c r="G214" s="3"/>
    </row>
    <row r="215" spans="3:7" ht="14.85" x14ac:dyDescent="0.25">
      <c r="C215" s="3"/>
      <c r="F215" s="3"/>
      <c r="G215" s="3"/>
    </row>
    <row r="216" spans="3:7" ht="14.85" x14ac:dyDescent="0.25">
      <c r="C216" s="3"/>
      <c r="F216" s="3"/>
      <c r="G216" s="3"/>
    </row>
    <row r="217" spans="3:7" ht="14.85" x14ac:dyDescent="0.25">
      <c r="C217" s="3"/>
      <c r="F217" s="3"/>
      <c r="G217" s="3"/>
    </row>
    <row r="218" spans="3:7" ht="14.85" x14ac:dyDescent="0.25">
      <c r="C218" s="3"/>
      <c r="F218" s="3"/>
      <c r="G218" s="3"/>
    </row>
    <row r="219" spans="3:7" ht="14.85" x14ac:dyDescent="0.25">
      <c r="C219" s="3"/>
      <c r="F219" s="3"/>
      <c r="G219" s="3"/>
    </row>
    <row r="220" spans="3:7" ht="14.85" x14ac:dyDescent="0.25">
      <c r="C220" s="3"/>
      <c r="F220" s="3"/>
      <c r="G220" s="3"/>
    </row>
    <row r="221" spans="3:7" ht="14.85" x14ac:dyDescent="0.25">
      <c r="C221" s="3"/>
      <c r="F221" s="3"/>
      <c r="G221" s="3"/>
    </row>
    <row r="222" spans="3:7" ht="14.85" x14ac:dyDescent="0.25">
      <c r="C222" s="3"/>
      <c r="F222" s="3"/>
      <c r="G222" s="3"/>
    </row>
    <row r="223" spans="3:7" ht="14.85" x14ac:dyDescent="0.25">
      <c r="C223" s="3"/>
      <c r="F223" s="3"/>
      <c r="G223" s="3"/>
    </row>
    <row r="224" spans="3:7" ht="14.85" x14ac:dyDescent="0.25">
      <c r="C224" s="3"/>
      <c r="F224" s="3"/>
      <c r="G224" s="3"/>
    </row>
    <row r="225" spans="3:7" ht="14.85" x14ac:dyDescent="0.25">
      <c r="C225" s="3"/>
      <c r="F225" s="3"/>
      <c r="G225" s="3"/>
    </row>
    <row r="226" spans="3:7" ht="14.85" x14ac:dyDescent="0.25">
      <c r="C226" s="3"/>
      <c r="F226" s="3"/>
      <c r="G226" s="3"/>
    </row>
    <row r="227" spans="3:7" ht="14.85" x14ac:dyDescent="0.25">
      <c r="C227" s="3"/>
      <c r="F227" s="3"/>
      <c r="G227" s="3"/>
    </row>
    <row r="228" spans="3:7" ht="14.85" x14ac:dyDescent="0.25">
      <c r="C228" s="3"/>
      <c r="F228" s="3"/>
      <c r="G228" s="3"/>
    </row>
    <row r="229" spans="3:7" ht="14.85" x14ac:dyDescent="0.25">
      <c r="C229" s="3"/>
      <c r="F229" s="3"/>
      <c r="G229" s="3"/>
    </row>
    <row r="230" spans="3:7" ht="14.85" x14ac:dyDescent="0.25">
      <c r="C230" s="3"/>
      <c r="F230" s="3"/>
      <c r="G230" s="3"/>
    </row>
    <row r="231" spans="3:7" ht="14.85" x14ac:dyDescent="0.25">
      <c r="C231" s="3"/>
      <c r="F231" s="3"/>
      <c r="G231" s="3"/>
    </row>
    <row r="232" spans="3:7" ht="14.85" x14ac:dyDescent="0.25">
      <c r="C232" s="3"/>
      <c r="F232" s="3"/>
      <c r="G232" s="3"/>
    </row>
    <row r="233" spans="3:7" ht="14.85" x14ac:dyDescent="0.25">
      <c r="C233" s="3"/>
      <c r="F233" s="3"/>
      <c r="G233" s="3"/>
    </row>
    <row r="234" spans="3:7" ht="14.85" x14ac:dyDescent="0.25">
      <c r="C234" s="3"/>
      <c r="F234" s="3"/>
      <c r="G234" s="3"/>
    </row>
    <row r="235" spans="3:7" ht="14.85" x14ac:dyDescent="0.25">
      <c r="C235" s="3"/>
      <c r="F235" s="3"/>
      <c r="G235" s="3"/>
    </row>
    <row r="236" spans="3:7" ht="14.85" x14ac:dyDescent="0.25">
      <c r="C236" s="3"/>
      <c r="F236" s="3"/>
      <c r="G236" s="3"/>
    </row>
    <row r="237" spans="3:7" ht="14.85" x14ac:dyDescent="0.25">
      <c r="C237" s="3"/>
      <c r="F237" s="3"/>
      <c r="G237" s="3"/>
    </row>
    <row r="238" spans="3:7" ht="14.85" x14ac:dyDescent="0.25">
      <c r="C238" s="3"/>
      <c r="F238" s="3"/>
      <c r="G238" s="3"/>
    </row>
    <row r="239" spans="3:7" ht="14.85" x14ac:dyDescent="0.25">
      <c r="C239" s="3"/>
      <c r="F239" s="3"/>
      <c r="G239" s="3"/>
    </row>
    <row r="240" spans="3:7" ht="14.85" x14ac:dyDescent="0.25">
      <c r="C240" s="3"/>
      <c r="F240" s="3"/>
      <c r="G240" s="3"/>
    </row>
    <row r="241" spans="3:7" ht="14.85" x14ac:dyDescent="0.25">
      <c r="C241" s="3"/>
      <c r="F241" s="3"/>
      <c r="G241" s="3"/>
    </row>
    <row r="242" spans="3:7" ht="14.85" x14ac:dyDescent="0.25">
      <c r="C242" s="3"/>
      <c r="F242" s="3"/>
      <c r="G242" s="3"/>
    </row>
    <row r="243" spans="3:7" ht="14.85" x14ac:dyDescent="0.25">
      <c r="C243" s="3"/>
      <c r="F243" s="3"/>
      <c r="G243" s="3"/>
    </row>
    <row r="244" spans="3:7" ht="14.85" x14ac:dyDescent="0.25">
      <c r="C244" s="3"/>
      <c r="F244" s="3"/>
      <c r="G244" s="3"/>
    </row>
    <row r="245" spans="3:7" ht="14.85" x14ac:dyDescent="0.25">
      <c r="C245" s="3"/>
      <c r="F245" s="3"/>
      <c r="G245" s="3"/>
    </row>
    <row r="246" spans="3:7" ht="14.85" x14ac:dyDescent="0.25">
      <c r="C246" s="3"/>
      <c r="F246" s="3"/>
      <c r="G246" s="3"/>
    </row>
    <row r="247" spans="3:7" ht="14.85" x14ac:dyDescent="0.25">
      <c r="C247" s="3"/>
      <c r="F247" s="3"/>
      <c r="G247" s="3"/>
    </row>
    <row r="248" spans="3:7" ht="14.85" x14ac:dyDescent="0.25">
      <c r="C248" s="3"/>
      <c r="F248" s="3"/>
      <c r="G248" s="3"/>
    </row>
    <row r="249" spans="3:7" ht="14.85" x14ac:dyDescent="0.25">
      <c r="C249" s="3"/>
      <c r="F249" s="3"/>
      <c r="G249" s="3"/>
    </row>
    <row r="250" spans="3:7" ht="14.85" x14ac:dyDescent="0.25">
      <c r="C250" s="3"/>
      <c r="F250" s="3"/>
      <c r="G250" s="3"/>
    </row>
    <row r="251" spans="3:7" ht="14.85" x14ac:dyDescent="0.25">
      <c r="C251" s="3"/>
      <c r="F251" s="3"/>
      <c r="G251" s="3"/>
    </row>
    <row r="252" spans="3:7" ht="14.85" x14ac:dyDescent="0.25">
      <c r="C252" s="3"/>
      <c r="F252" s="3"/>
      <c r="G252" s="3"/>
    </row>
    <row r="253" spans="3:7" ht="14.85" x14ac:dyDescent="0.25">
      <c r="C253" s="3"/>
      <c r="F253" s="3"/>
      <c r="G253" s="3"/>
    </row>
    <row r="254" spans="3:7" ht="14.85" x14ac:dyDescent="0.25">
      <c r="C254" s="3"/>
      <c r="F254" s="3"/>
      <c r="G254" s="3"/>
    </row>
    <row r="255" spans="3:7" ht="14.85" x14ac:dyDescent="0.25">
      <c r="C255" s="3"/>
      <c r="F255" s="3"/>
      <c r="G255" s="3"/>
    </row>
    <row r="256" spans="3:7" ht="14.85" x14ac:dyDescent="0.25">
      <c r="C256" s="3"/>
      <c r="F256" s="3"/>
      <c r="G256" s="3"/>
    </row>
    <row r="257" spans="3:7" ht="14.85" x14ac:dyDescent="0.25">
      <c r="C257" s="3"/>
      <c r="F257" s="3"/>
      <c r="G257" s="3"/>
    </row>
    <row r="258" spans="3:7" ht="14.85" x14ac:dyDescent="0.25">
      <c r="C258" s="3"/>
      <c r="F258" s="3"/>
      <c r="G258" s="3"/>
    </row>
    <row r="259" spans="3:7" ht="14.85" x14ac:dyDescent="0.25">
      <c r="C259" s="3"/>
      <c r="F259" s="3"/>
      <c r="G259" s="3"/>
    </row>
    <row r="260" spans="3:7" ht="14.85" x14ac:dyDescent="0.25">
      <c r="C260" s="3"/>
      <c r="F260" s="3"/>
      <c r="G260" s="3"/>
    </row>
    <row r="261" spans="3:7" ht="14.85" x14ac:dyDescent="0.25">
      <c r="C261" s="3"/>
      <c r="F261" s="3"/>
      <c r="G261" s="3"/>
    </row>
    <row r="262" spans="3:7" ht="14.85" x14ac:dyDescent="0.25">
      <c r="C262" s="3"/>
      <c r="F262" s="3"/>
      <c r="G262" s="3"/>
    </row>
    <row r="263" spans="3:7" ht="14.85" x14ac:dyDescent="0.25">
      <c r="C263" s="3"/>
      <c r="F263" s="3"/>
      <c r="G263" s="3"/>
    </row>
    <row r="264" spans="3:7" ht="14.85" x14ac:dyDescent="0.25">
      <c r="C264" s="3"/>
      <c r="F264" s="3"/>
      <c r="G264" s="3"/>
    </row>
    <row r="265" spans="3:7" ht="14.85" x14ac:dyDescent="0.25">
      <c r="C265" s="3"/>
      <c r="F265" s="3"/>
      <c r="G265" s="3"/>
    </row>
    <row r="266" spans="3:7" ht="14.85" x14ac:dyDescent="0.25">
      <c r="C266" s="3"/>
      <c r="F266" s="3"/>
      <c r="G266" s="3"/>
    </row>
    <row r="267" spans="3:7" ht="14.85" x14ac:dyDescent="0.25">
      <c r="C267" s="3"/>
      <c r="F267" s="3"/>
      <c r="G267" s="3"/>
    </row>
    <row r="268" spans="3:7" ht="14.85" x14ac:dyDescent="0.25">
      <c r="C268" s="3"/>
      <c r="F268" s="3"/>
      <c r="G268" s="3"/>
    </row>
    <row r="269" spans="3:7" ht="14.85" x14ac:dyDescent="0.25">
      <c r="C269" s="3"/>
      <c r="F269" s="3"/>
      <c r="G269" s="3"/>
    </row>
    <row r="270" spans="3:7" ht="14.85" x14ac:dyDescent="0.25">
      <c r="C270" s="3"/>
      <c r="F270" s="3"/>
      <c r="G270" s="3"/>
    </row>
    <row r="271" spans="3:7" ht="14.85" x14ac:dyDescent="0.25">
      <c r="C271" s="3"/>
      <c r="F271" s="3"/>
      <c r="G271" s="3"/>
    </row>
    <row r="272" spans="3:7" ht="14.85" x14ac:dyDescent="0.25">
      <c r="C272" s="3"/>
      <c r="F272" s="3"/>
      <c r="G272" s="3"/>
    </row>
    <row r="273" spans="3:7" ht="14.85" x14ac:dyDescent="0.25">
      <c r="C273" s="3"/>
      <c r="F273" s="3"/>
      <c r="G273" s="3"/>
    </row>
    <row r="274" spans="3:7" ht="14.85" x14ac:dyDescent="0.25">
      <c r="C274" s="3"/>
      <c r="F274" s="3"/>
      <c r="G274" s="3"/>
    </row>
    <row r="275" spans="3:7" ht="14.85" x14ac:dyDescent="0.25">
      <c r="C275" s="3"/>
      <c r="F275" s="3"/>
      <c r="G275" s="3"/>
    </row>
    <row r="276" spans="3:7" ht="14.85" x14ac:dyDescent="0.25">
      <c r="C276" s="3"/>
      <c r="F276" s="3"/>
      <c r="G276" s="3"/>
    </row>
    <row r="277" spans="3:7" ht="14.85" x14ac:dyDescent="0.25">
      <c r="C277" s="3"/>
      <c r="F277" s="3"/>
      <c r="G277" s="3"/>
    </row>
    <row r="278" spans="3:7" ht="14.85" x14ac:dyDescent="0.25">
      <c r="C278" s="3"/>
      <c r="F278" s="3"/>
      <c r="G278" s="3"/>
    </row>
    <row r="279" spans="3:7" ht="14.85" x14ac:dyDescent="0.25">
      <c r="C279" s="3"/>
      <c r="F279" s="3"/>
      <c r="G279" s="3"/>
    </row>
    <row r="280" spans="3:7" ht="14.85" x14ac:dyDescent="0.25">
      <c r="C280" s="3"/>
      <c r="F280" s="3"/>
      <c r="G280" s="3"/>
    </row>
    <row r="281" spans="3:7" ht="14.85" x14ac:dyDescent="0.25">
      <c r="C281" s="3"/>
      <c r="F281" s="3"/>
      <c r="G281" s="3"/>
    </row>
    <row r="282" spans="3:7" ht="14.85" x14ac:dyDescent="0.25">
      <c r="C282" s="3"/>
      <c r="F282" s="3"/>
      <c r="G282" s="3"/>
    </row>
    <row r="283" spans="3:7" ht="14.85" x14ac:dyDescent="0.25">
      <c r="C283" s="3"/>
      <c r="F283" s="3"/>
      <c r="G283" s="3"/>
    </row>
    <row r="284" spans="3:7" ht="14.85" x14ac:dyDescent="0.25">
      <c r="C284" s="3"/>
      <c r="F284" s="3"/>
      <c r="G284" s="3"/>
    </row>
    <row r="285" spans="3:7" ht="14.85" x14ac:dyDescent="0.25">
      <c r="C285" s="3"/>
      <c r="F285" s="3"/>
      <c r="G285" s="3"/>
    </row>
    <row r="286" spans="3:7" ht="14.85" x14ac:dyDescent="0.25">
      <c r="C286" s="3"/>
      <c r="F286" s="3"/>
      <c r="G286" s="3"/>
    </row>
    <row r="287" spans="3:7" ht="14.85" x14ac:dyDescent="0.25">
      <c r="C287" s="3"/>
      <c r="F287" s="3"/>
      <c r="G287" s="3"/>
    </row>
    <row r="288" spans="3:7" ht="14.85" x14ac:dyDescent="0.25">
      <c r="C288" s="3"/>
      <c r="F288" s="3"/>
      <c r="G288" s="3"/>
    </row>
    <row r="289" spans="3:7" ht="14.85" x14ac:dyDescent="0.25">
      <c r="C289" s="3"/>
      <c r="F289" s="3"/>
      <c r="G289" s="3"/>
    </row>
    <row r="290" spans="3:7" ht="14.85" x14ac:dyDescent="0.25">
      <c r="C290" s="3"/>
      <c r="F290" s="3"/>
      <c r="G290" s="3"/>
    </row>
    <row r="291" spans="3:7" ht="14.85" x14ac:dyDescent="0.25">
      <c r="C291" s="3"/>
      <c r="F291" s="3"/>
      <c r="G291" s="3"/>
    </row>
    <row r="292" spans="3:7" ht="14.85" x14ac:dyDescent="0.25">
      <c r="C292" s="3"/>
      <c r="F292" s="3"/>
      <c r="G292" s="3"/>
    </row>
    <row r="293" spans="3:7" ht="14.85" x14ac:dyDescent="0.25">
      <c r="C293" s="3"/>
      <c r="F293" s="3"/>
      <c r="G293" s="3"/>
    </row>
    <row r="294" spans="3:7" ht="14.85" x14ac:dyDescent="0.25">
      <c r="C294" s="3"/>
      <c r="F294" s="3"/>
      <c r="G294" s="3"/>
    </row>
    <row r="295" spans="3:7" ht="14.85" x14ac:dyDescent="0.25">
      <c r="C295" s="3"/>
      <c r="F295" s="3"/>
      <c r="G295" s="3"/>
    </row>
    <row r="296" spans="3:7" ht="14.85" x14ac:dyDescent="0.25">
      <c r="C296" s="3"/>
      <c r="F296" s="3"/>
      <c r="G296" s="3"/>
    </row>
    <row r="297" spans="3:7" ht="14.85" x14ac:dyDescent="0.25">
      <c r="C297" s="3"/>
      <c r="F297" s="3"/>
      <c r="G297" s="3"/>
    </row>
    <row r="298" spans="3:7" ht="14.85" x14ac:dyDescent="0.25">
      <c r="C298" s="3"/>
      <c r="F298" s="3"/>
      <c r="G298" s="3"/>
    </row>
    <row r="299" spans="3:7" ht="14.85" x14ac:dyDescent="0.25">
      <c r="C299" s="3"/>
      <c r="F299" s="3"/>
      <c r="G299" s="3"/>
    </row>
    <row r="300" spans="3:7" ht="14.85" x14ac:dyDescent="0.25">
      <c r="C300" s="3"/>
      <c r="F300" s="3"/>
      <c r="G300" s="3"/>
    </row>
    <row r="301" spans="3:7" ht="14.85" x14ac:dyDescent="0.25">
      <c r="C301" s="3"/>
      <c r="F301" s="3"/>
      <c r="G301" s="3"/>
    </row>
    <row r="302" spans="3:7" ht="14.85" x14ac:dyDescent="0.25">
      <c r="C302" s="3"/>
      <c r="F302" s="3"/>
      <c r="G302" s="3"/>
    </row>
    <row r="303" spans="3:7" ht="14.85" x14ac:dyDescent="0.25">
      <c r="C303" s="3"/>
      <c r="F303" s="3"/>
      <c r="G303" s="3"/>
    </row>
    <row r="304" spans="3:7" ht="14.85" x14ac:dyDescent="0.25">
      <c r="C304" s="3"/>
      <c r="F304" s="3"/>
      <c r="G304" s="3"/>
    </row>
    <row r="305" spans="3:7" ht="14.85" x14ac:dyDescent="0.25">
      <c r="C305" s="3"/>
      <c r="F305" s="3"/>
      <c r="G305" s="3"/>
    </row>
    <row r="306" spans="3:7" ht="14.85" x14ac:dyDescent="0.25">
      <c r="C306" s="3"/>
      <c r="F306" s="3"/>
      <c r="G306" s="3"/>
    </row>
    <row r="307" spans="3:7" ht="14.85" x14ac:dyDescent="0.25">
      <c r="C307" s="3"/>
      <c r="F307" s="3"/>
      <c r="G307" s="3"/>
    </row>
    <row r="308" spans="3:7" ht="14.85" x14ac:dyDescent="0.25">
      <c r="C308" s="3"/>
      <c r="F308" s="3"/>
      <c r="G308" s="3"/>
    </row>
    <row r="309" spans="3:7" ht="14.85" x14ac:dyDescent="0.25">
      <c r="C309" s="3"/>
      <c r="F309" s="3"/>
      <c r="G309" s="3"/>
    </row>
    <row r="310" spans="3:7" ht="14.85" x14ac:dyDescent="0.25">
      <c r="C310" s="3"/>
      <c r="F310" s="3"/>
      <c r="G310" s="3"/>
    </row>
    <row r="311" spans="3:7" ht="14.85" x14ac:dyDescent="0.25">
      <c r="C311" s="3"/>
      <c r="F311" s="3"/>
      <c r="G311" s="3"/>
    </row>
    <row r="312" spans="3:7" ht="14.85" x14ac:dyDescent="0.25">
      <c r="C312" s="3"/>
      <c r="F312" s="3"/>
      <c r="G312" s="3"/>
    </row>
    <row r="313" spans="3:7" ht="14.85" x14ac:dyDescent="0.25">
      <c r="C313" s="3"/>
      <c r="F313" s="3"/>
      <c r="G313" s="3"/>
    </row>
    <row r="314" spans="3:7" ht="14.85" x14ac:dyDescent="0.25">
      <c r="C314" s="3"/>
      <c r="F314" s="3"/>
      <c r="G314" s="3"/>
    </row>
    <row r="315" spans="3:7" ht="14.85" x14ac:dyDescent="0.25">
      <c r="C315" s="3"/>
      <c r="F315" s="3"/>
      <c r="G315" s="3"/>
    </row>
    <row r="316" spans="3:7" ht="14.85" x14ac:dyDescent="0.25">
      <c r="C316" s="3"/>
      <c r="F316" s="3"/>
      <c r="G316" s="3"/>
    </row>
    <row r="317" spans="3:7" ht="14.85" x14ac:dyDescent="0.25">
      <c r="C317" s="3"/>
      <c r="F317" s="3"/>
      <c r="G317" s="3"/>
    </row>
    <row r="318" spans="3:7" ht="14.85" x14ac:dyDescent="0.25">
      <c r="C318" s="3"/>
      <c r="F318" s="3"/>
      <c r="G318" s="3"/>
    </row>
    <row r="319" spans="3:7" ht="14.85" x14ac:dyDescent="0.25">
      <c r="C319" s="3"/>
      <c r="F319" s="3"/>
      <c r="G319" s="3"/>
    </row>
    <row r="320" spans="3:7" ht="14.85" x14ac:dyDescent="0.25">
      <c r="C320" s="3"/>
      <c r="F320" s="3"/>
      <c r="G320" s="3"/>
    </row>
    <row r="321" spans="3:7" ht="14.85" x14ac:dyDescent="0.25">
      <c r="C321" s="3"/>
      <c r="F321" s="3"/>
      <c r="G321" s="3"/>
    </row>
    <row r="322" spans="3:7" ht="14.85" x14ac:dyDescent="0.25">
      <c r="C322" s="3"/>
      <c r="F322" s="3"/>
      <c r="G322" s="3"/>
    </row>
    <row r="323" spans="3:7" ht="14.85" x14ac:dyDescent="0.25">
      <c r="C323" s="3"/>
      <c r="F323" s="3"/>
      <c r="G323" s="3"/>
    </row>
    <row r="324" spans="3:7" ht="14.85" x14ac:dyDescent="0.25">
      <c r="C324" s="3"/>
      <c r="F324" s="3"/>
      <c r="G324" s="3"/>
    </row>
    <row r="325" spans="3:7" ht="14.85" x14ac:dyDescent="0.25">
      <c r="C325" s="3"/>
      <c r="F325" s="3"/>
      <c r="G325" s="3"/>
    </row>
    <row r="326" spans="3:7" ht="14.85" x14ac:dyDescent="0.25">
      <c r="C326" s="3"/>
      <c r="F326" s="3"/>
      <c r="G326" s="3"/>
    </row>
    <row r="327" spans="3:7" ht="14.85" x14ac:dyDescent="0.25">
      <c r="C327" s="3"/>
      <c r="F327" s="3"/>
      <c r="G327" s="3"/>
    </row>
    <row r="328" spans="3:7" ht="14.85" x14ac:dyDescent="0.25">
      <c r="C328" s="3"/>
      <c r="F328" s="3"/>
      <c r="G328" s="3"/>
    </row>
    <row r="329" spans="3:7" ht="14.85" x14ac:dyDescent="0.25">
      <c r="C329" s="3"/>
      <c r="F329" s="3"/>
      <c r="G329" s="3"/>
    </row>
    <row r="330" spans="3:7" ht="14.85" x14ac:dyDescent="0.25">
      <c r="C330" s="3"/>
      <c r="F330" s="3"/>
      <c r="G330" s="3"/>
    </row>
    <row r="331" spans="3:7" ht="14.85" x14ac:dyDescent="0.25">
      <c r="C331" s="3"/>
      <c r="F331" s="3"/>
      <c r="G331" s="3"/>
    </row>
    <row r="332" spans="3:7" ht="14.85" x14ac:dyDescent="0.25">
      <c r="C332" s="3"/>
      <c r="F332" s="3"/>
      <c r="G332" s="3"/>
    </row>
    <row r="333" spans="3:7" ht="14.85" x14ac:dyDescent="0.25">
      <c r="C333" s="3"/>
      <c r="F333" s="3"/>
      <c r="G333" s="3"/>
    </row>
    <row r="334" spans="3:7" ht="14.85" x14ac:dyDescent="0.25">
      <c r="C334" s="3"/>
      <c r="F334" s="3"/>
      <c r="G334" s="3"/>
    </row>
    <row r="335" spans="3:7" ht="14.85" x14ac:dyDescent="0.25">
      <c r="C335" s="3"/>
      <c r="F335" s="3"/>
      <c r="G335" s="3"/>
    </row>
    <row r="336" spans="3:7" ht="14.85" x14ac:dyDescent="0.25">
      <c r="C336" s="3"/>
      <c r="F336" s="3"/>
      <c r="G336" s="3"/>
    </row>
    <row r="337" spans="3:7" ht="14.85" x14ac:dyDescent="0.25">
      <c r="C337" s="3"/>
      <c r="F337" s="3"/>
      <c r="G337" s="3"/>
    </row>
    <row r="338" spans="3:7" ht="14.85" x14ac:dyDescent="0.25">
      <c r="C338" s="3"/>
      <c r="F338" s="3"/>
      <c r="G338" s="3"/>
    </row>
    <row r="339" spans="3:7" ht="14.85" x14ac:dyDescent="0.25">
      <c r="C339" s="3"/>
      <c r="F339" s="3"/>
      <c r="G339" s="3"/>
    </row>
    <row r="340" spans="3:7" ht="14.85" x14ac:dyDescent="0.25">
      <c r="C340" s="3"/>
      <c r="F340" s="3"/>
      <c r="G340" s="3"/>
    </row>
    <row r="341" spans="3:7" ht="14.85" x14ac:dyDescent="0.25">
      <c r="C341" s="3"/>
      <c r="F341" s="3"/>
      <c r="G341" s="3"/>
    </row>
    <row r="342" spans="3:7" ht="14.85" x14ac:dyDescent="0.25">
      <c r="C342" s="3"/>
      <c r="F342" s="3"/>
      <c r="G342" s="3"/>
    </row>
    <row r="343" spans="3:7" ht="14.85" x14ac:dyDescent="0.25">
      <c r="C343" s="3"/>
      <c r="F343" s="3"/>
      <c r="G343" s="3"/>
    </row>
    <row r="344" spans="3:7" ht="14.85" x14ac:dyDescent="0.25">
      <c r="C344" s="3"/>
      <c r="F344" s="3"/>
      <c r="G344" s="3"/>
    </row>
    <row r="345" spans="3:7" ht="14.85" x14ac:dyDescent="0.25">
      <c r="C345" s="3"/>
      <c r="F345" s="3"/>
      <c r="G345" s="3"/>
    </row>
    <row r="346" spans="3:7" ht="14.85" x14ac:dyDescent="0.25">
      <c r="C346" s="3"/>
      <c r="F346" s="3"/>
      <c r="G346" s="3"/>
    </row>
    <row r="347" spans="3:7" ht="14.85" x14ac:dyDescent="0.25">
      <c r="C347" s="3"/>
      <c r="F347" s="3"/>
      <c r="G347" s="3"/>
    </row>
    <row r="348" spans="3:7" ht="14.85" x14ac:dyDescent="0.25">
      <c r="C348" s="3"/>
      <c r="F348" s="3"/>
      <c r="G348" s="3"/>
    </row>
    <row r="349" spans="3:7" ht="14.85" x14ac:dyDescent="0.25">
      <c r="C349" s="3"/>
      <c r="F349" s="3"/>
      <c r="G349" s="3"/>
    </row>
    <row r="350" spans="3:7" ht="14.85" x14ac:dyDescent="0.25">
      <c r="C350" s="3"/>
      <c r="F350" s="3"/>
      <c r="G350" s="3"/>
    </row>
    <row r="351" spans="3:7" ht="14.85" x14ac:dyDescent="0.25">
      <c r="C351" s="3"/>
      <c r="F351" s="3"/>
      <c r="G351" s="3"/>
    </row>
    <row r="352" spans="3:7" ht="14.85" x14ac:dyDescent="0.25">
      <c r="C352" s="3"/>
      <c r="F352" s="3"/>
      <c r="G352" s="3"/>
    </row>
    <row r="353" spans="3:7" ht="14.85" x14ac:dyDescent="0.25">
      <c r="C353" s="3"/>
      <c r="F353" s="3"/>
      <c r="G353" s="3"/>
    </row>
    <row r="354" spans="3:7" ht="14.85" x14ac:dyDescent="0.25">
      <c r="C354" s="3"/>
      <c r="F354" s="3"/>
      <c r="G354" s="3"/>
    </row>
    <row r="355" spans="3:7" ht="14.85" x14ac:dyDescent="0.25">
      <c r="C355" s="3"/>
      <c r="F355" s="3"/>
      <c r="G355" s="3"/>
    </row>
    <row r="356" spans="3:7" ht="14.85" x14ac:dyDescent="0.25">
      <c r="C356" s="3"/>
      <c r="F356" s="3"/>
      <c r="G356" s="3"/>
    </row>
    <row r="357" spans="3:7" ht="14.85" x14ac:dyDescent="0.25">
      <c r="C357" s="3"/>
      <c r="F357" s="3"/>
      <c r="G357" s="3"/>
    </row>
    <row r="358" spans="3:7" ht="14.85" x14ac:dyDescent="0.25">
      <c r="C358" s="3"/>
      <c r="F358" s="3"/>
      <c r="G358" s="3"/>
    </row>
    <row r="359" spans="3:7" ht="14.85" x14ac:dyDescent="0.25">
      <c r="C359" s="3"/>
      <c r="F359" s="3"/>
      <c r="G359" s="3"/>
    </row>
    <row r="360" spans="3:7" ht="14.85" x14ac:dyDescent="0.25">
      <c r="C360" s="3"/>
      <c r="F360" s="3"/>
      <c r="G360" s="3"/>
    </row>
    <row r="361" spans="3:7" ht="14.85" x14ac:dyDescent="0.25">
      <c r="C361" s="3"/>
      <c r="F361" s="3"/>
      <c r="G361" s="3"/>
    </row>
    <row r="362" spans="3:7" ht="14.85" x14ac:dyDescent="0.25">
      <c r="C362" s="3"/>
      <c r="F362" s="3"/>
      <c r="G362" s="3"/>
    </row>
    <row r="363" spans="3:7" ht="14.85" x14ac:dyDescent="0.25">
      <c r="C363" s="3"/>
      <c r="F363" s="3"/>
      <c r="G363" s="3"/>
    </row>
    <row r="364" spans="3:7" ht="14.85" x14ac:dyDescent="0.25">
      <c r="C364" s="3"/>
      <c r="F364" s="3"/>
      <c r="G364" s="3"/>
    </row>
    <row r="365" spans="3:7" ht="14.85" x14ac:dyDescent="0.25">
      <c r="C365" s="3"/>
      <c r="F365" s="3"/>
      <c r="G365" s="3"/>
    </row>
    <row r="366" spans="3:7" ht="14.85" x14ac:dyDescent="0.25">
      <c r="C366" s="3"/>
      <c r="F366" s="3"/>
      <c r="G366" s="3"/>
    </row>
    <row r="367" spans="3:7" ht="14.85" x14ac:dyDescent="0.25">
      <c r="C367" s="3"/>
      <c r="F367" s="3"/>
      <c r="G367" s="3"/>
    </row>
    <row r="368" spans="3:7" ht="14.85" x14ac:dyDescent="0.25">
      <c r="C368" s="3"/>
      <c r="F368" s="3"/>
      <c r="G368" s="3"/>
    </row>
    <row r="369" spans="3:7" ht="14.85" x14ac:dyDescent="0.25">
      <c r="C369" s="3"/>
      <c r="F369" s="3"/>
      <c r="G369" s="3"/>
    </row>
    <row r="370" spans="3:7" ht="14.85" x14ac:dyDescent="0.25">
      <c r="C370" s="3"/>
      <c r="F370" s="3"/>
      <c r="G370" s="3"/>
    </row>
    <row r="371" spans="3:7" ht="14.85" x14ac:dyDescent="0.25">
      <c r="C371" s="3"/>
      <c r="F371" s="3"/>
      <c r="G371" s="3"/>
    </row>
    <row r="372" spans="3:7" ht="14.85" x14ac:dyDescent="0.25">
      <c r="C372" s="3"/>
      <c r="F372" s="3"/>
      <c r="G372" s="3"/>
    </row>
    <row r="373" spans="3:7" ht="14.85" x14ac:dyDescent="0.25">
      <c r="C373" s="3"/>
      <c r="F373" s="3"/>
      <c r="G373" s="3"/>
    </row>
    <row r="374" spans="3:7" ht="14.85" x14ac:dyDescent="0.25">
      <c r="C374" s="3"/>
      <c r="F374" s="3"/>
      <c r="G374" s="3"/>
    </row>
    <row r="375" spans="3:7" ht="14.85" x14ac:dyDescent="0.25">
      <c r="C375" s="3"/>
      <c r="F375" s="3"/>
      <c r="G375" s="3"/>
    </row>
    <row r="376" spans="3:7" ht="14.85" x14ac:dyDescent="0.25">
      <c r="C376" s="3"/>
      <c r="F376" s="3"/>
      <c r="G376" s="3"/>
    </row>
    <row r="377" spans="3:7" ht="14.85" x14ac:dyDescent="0.25">
      <c r="C377" s="3"/>
      <c r="F377" s="3"/>
      <c r="G377" s="3"/>
    </row>
    <row r="378" spans="3:7" ht="14.85" x14ac:dyDescent="0.25">
      <c r="C378" s="3"/>
      <c r="F378" s="3"/>
      <c r="G378" s="3"/>
    </row>
    <row r="379" spans="3:7" ht="14.85" x14ac:dyDescent="0.25">
      <c r="C379" s="3"/>
      <c r="F379" s="3"/>
      <c r="G379" s="3"/>
    </row>
    <row r="380" spans="3:7" ht="14.85" x14ac:dyDescent="0.25">
      <c r="C380" s="3"/>
      <c r="F380" s="3"/>
      <c r="G380" s="3"/>
    </row>
    <row r="381" spans="3:7" ht="14.85" x14ac:dyDescent="0.25">
      <c r="C381" s="3"/>
      <c r="F381" s="3"/>
      <c r="G381" s="3"/>
    </row>
    <row r="382" spans="3:7" ht="14.85" x14ac:dyDescent="0.25">
      <c r="C382" s="3"/>
      <c r="F382" s="3"/>
      <c r="G382" s="3"/>
    </row>
    <row r="383" spans="3:7" ht="14.85" x14ac:dyDescent="0.25">
      <c r="C383" s="3"/>
      <c r="F383" s="3"/>
      <c r="G383" s="3"/>
    </row>
    <row r="384" spans="3:7" ht="14.85" x14ac:dyDescent="0.25">
      <c r="C384" s="3"/>
      <c r="F384" s="3"/>
      <c r="G384" s="3"/>
    </row>
    <row r="385" spans="3:7" ht="14.85" x14ac:dyDescent="0.25">
      <c r="C385" s="3"/>
      <c r="F385" s="3"/>
      <c r="G385" s="3"/>
    </row>
    <row r="386" spans="3:7" ht="14.85" x14ac:dyDescent="0.25">
      <c r="C386" s="3"/>
      <c r="F386" s="3"/>
      <c r="G386" s="3"/>
    </row>
    <row r="387" spans="3:7" ht="14.85" x14ac:dyDescent="0.25">
      <c r="C387" s="3"/>
      <c r="F387" s="3"/>
      <c r="G387" s="3"/>
    </row>
    <row r="388" spans="3:7" ht="14.85" x14ac:dyDescent="0.25">
      <c r="C388" s="3"/>
      <c r="F388" s="3"/>
      <c r="G388" s="3"/>
    </row>
    <row r="389" spans="3:7" ht="14.85" x14ac:dyDescent="0.25">
      <c r="C389" s="3"/>
      <c r="F389" s="3"/>
      <c r="G389" s="3"/>
    </row>
    <row r="390" spans="3:7" ht="14.85" x14ac:dyDescent="0.25">
      <c r="C390" s="3"/>
      <c r="F390" s="3"/>
      <c r="G390" s="3"/>
    </row>
    <row r="391" spans="3:7" ht="14.85" x14ac:dyDescent="0.25">
      <c r="C391" s="3"/>
      <c r="F391" s="3"/>
      <c r="G391" s="3"/>
    </row>
    <row r="392" spans="3:7" ht="14.85" x14ac:dyDescent="0.25">
      <c r="C392" s="3"/>
      <c r="F392" s="3"/>
      <c r="G392" s="3"/>
    </row>
    <row r="393" spans="3:7" ht="14.85" x14ac:dyDescent="0.25">
      <c r="C393" s="3"/>
      <c r="F393" s="3"/>
      <c r="G393" s="3"/>
    </row>
    <row r="394" spans="3:7" ht="14.85" x14ac:dyDescent="0.25">
      <c r="C394" s="3"/>
      <c r="F394" s="3"/>
      <c r="G394" s="3"/>
    </row>
    <row r="395" spans="3:7" ht="14.85" x14ac:dyDescent="0.25">
      <c r="C395" s="3"/>
      <c r="F395" s="3"/>
      <c r="G395" s="3"/>
    </row>
    <row r="396" spans="3:7" ht="14.85" x14ac:dyDescent="0.25">
      <c r="C396" s="3"/>
      <c r="F396" s="3"/>
      <c r="G396" s="3"/>
    </row>
    <row r="397" spans="3:7" ht="14.85" x14ac:dyDescent="0.25">
      <c r="C397" s="3"/>
      <c r="F397" s="3"/>
      <c r="G397" s="3"/>
    </row>
    <row r="398" spans="3:7" ht="14.85" x14ac:dyDescent="0.25">
      <c r="C398" s="3"/>
      <c r="F398" s="3"/>
      <c r="G398" s="3"/>
    </row>
    <row r="399" spans="3:7" ht="14.85" x14ac:dyDescent="0.25">
      <c r="C399" s="3"/>
      <c r="F399" s="3"/>
      <c r="G399" s="3"/>
    </row>
    <row r="400" spans="3:7" ht="14.85" x14ac:dyDescent="0.25">
      <c r="C400" s="3"/>
      <c r="F400" s="3"/>
      <c r="G400" s="3"/>
    </row>
    <row r="401" spans="3:7" ht="14.85" x14ac:dyDescent="0.25">
      <c r="C401" s="3"/>
      <c r="F401" s="3"/>
      <c r="G401" s="3"/>
    </row>
    <row r="402" spans="3:7" ht="14.85" x14ac:dyDescent="0.25">
      <c r="C402" s="3"/>
      <c r="F402" s="3"/>
      <c r="G402" s="3"/>
    </row>
    <row r="403" spans="3:7" ht="14.85" x14ac:dyDescent="0.25">
      <c r="C403" s="3"/>
      <c r="F403" s="3"/>
      <c r="G403" s="3"/>
    </row>
    <row r="404" spans="3:7" ht="14.85" x14ac:dyDescent="0.25">
      <c r="C404" s="3"/>
      <c r="F404" s="3"/>
      <c r="G404" s="3"/>
    </row>
    <row r="405" spans="3:7" ht="14.85" x14ac:dyDescent="0.25">
      <c r="C405" s="3"/>
      <c r="F405" s="3"/>
      <c r="G405" s="3"/>
    </row>
    <row r="406" spans="3:7" ht="14.85" x14ac:dyDescent="0.25">
      <c r="C406" s="3"/>
      <c r="F406" s="3"/>
      <c r="G406" s="3"/>
    </row>
    <row r="407" spans="3:7" ht="14.85" x14ac:dyDescent="0.25">
      <c r="C407" s="3"/>
      <c r="F407" s="3"/>
      <c r="G407" s="3"/>
    </row>
    <row r="408" spans="3:7" ht="14.85" x14ac:dyDescent="0.25">
      <c r="C408" s="3"/>
      <c r="F408" s="3"/>
      <c r="G408" s="3"/>
    </row>
    <row r="409" spans="3:7" ht="14.85" x14ac:dyDescent="0.25">
      <c r="C409" s="3"/>
      <c r="F409" s="3"/>
      <c r="G409" s="3"/>
    </row>
    <row r="410" spans="3:7" ht="14.85" x14ac:dyDescent="0.25">
      <c r="C410" s="3"/>
      <c r="F410" s="3"/>
      <c r="G410" s="3"/>
    </row>
    <row r="411" spans="3:7" ht="14.85" x14ac:dyDescent="0.25">
      <c r="C411" s="3"/>
      <c r="F411" s="3"/>
      <c r="G411" s="3"/>
    </row>
    <row r="412" spans="3:7" ht="14.85" x14ac:dyDescent="0.25">
      <c r="C412" s="3"/>
      <c r="F412" s="3"/>
      <c r="G412" s="3"/>
    </row>
    <row r="413" spans="3:7" ht="14.85" x14ac:dyDescent="0.25">
      <c r="C413" s="3"/>
      <c r="F413" s="3"/>
      <c r="G413" s="3"/>
    </row>
    <row r="414" spans="3:7" ht="14.85" x14ac:dyDescent="0.25">
      <c r="C414" s="3"/>
      <c r="F414" s="3"/>
      <c r="G414" s="3"/>
    </row>
    <row r="415" spans="3:7" ht="14.85" x14ac:dyDescent="0.25">
      <c r="C415" s="3"/>
      <c r="F415" s="3"/>
      <c r="G415" s="3"/>
    </row>
    <row r="416" spans="3:7" ht="14.85" x14ac:dyDescent="0.25">
      <c r="C416" s="3"/>
      <c r="F416" s="3"/>
      <c r="G416" s="3"/>
    </row>
    <row r="417" spans="3:7" ht="14.85" x14ac:dyDescent="0.25">
      <c r="C417" s="3"/>
      <c r="F417" s="3"/>
      <c r="G417" s="3"/>
    </row>
    <row r="418" spans="3:7" ht="14.85" x14ac:dyDescent="0.25">
      <c r="C418" s="3"/>
      <c r="F418" s="3"/>
      <c r="G418" s="3"/>
    </row>
    <row r="419" spans="3:7" ht="14.85" x14ac:dyDescent="0.25">
      <c r="C419" s="3"/>
      <c r="F419" s="3"/>
      <c r="G419" s="3"/>
    </row>
    <row r="420" spans="3:7" ht="14.85" x14ac:dyDescent="0.25">
      <c r="C420" s="3"/>
      <c r="F420" s="3"/>
      <c r="G420" s="3"/>
    </row>
    <row r="421" spans="3:7" ht="14.85" x14ac:dyDescent="0.25">
      <c r="C421" s="3"/>
      <c r="F421" s="3"/>
      <c r="G421" s="3"/>
    </row>
    <row r="422" spans="3:7" ht="14.85" x14ac:dyDescent="0.25">
      <c r="C422" s="3"/>
      <c r="F422" s="3"/>
      <c r="G422" s="3"/>
    </row>
    <row r="423" spans="3:7" ht="14.85" x14ac:dyDescent="0.25">
      <c r="C423" s="3"/>
      <c r="F423" s="3"/>
      <c r="G423" s="3"/>
    </row>
    <row r="424" spans="3:7" ht="14.85" x14ac:dyDescent="0.25">
      <c r="C424" s="3"/>
      <c r="F424" s="3"/>
      <c r="G424" s="3"/>
    </row>
    <row r="425" spans="3:7" ht="14.85" x14ac:dyDescent="0.25">
      <c r="C425" s="3"/>
      <c r="F425" s="3"/>
      <c r="G425" s="3"/>
    </row>
    <row r="426" spans="3:7" ht="14.85" x14ac:dyDescent="0.25">
      <c r="C426" s="3"/>
      <c r="F426" s="3"/>
      <c r="G426" s="3"/>
    </row>
    <row r="427" spans="3:7" ht="14.85" x14ac:dyDescent="0.25">
      <c r="C427" s="3"/>
      <c r="F427" s="3"/>
      <c r="G427" s="3"/>
    </row>
    <row r="428" spans="3:7" ht="14.85" x14ac:dyDescent="0.25">
      <c r="C428" s="3"/>
      <c r="F428" s="3"/>
      <c r="G428" s="3"/>
    </row>
    <row r="429" spans="3:7" ht="14.85" x14ac:dyDescent="0.25">
      <c r="C429" s="3"/>
      <c r="F429" s="3"/>
      <c r="G429" s="3"/>
    </row>
    <row r="430" spans="3:7" ht="14.85" x14ac:dyDescent="0.25">
      <c r="C430" s="3"/>
      <c r="F430" s="3"/>
      <c r="G430" s="3"/>
    </row>
    <row r="431" spans="3:7" ht="14.85" x14ac:dyDescent="0.25">
      <c r="C431" s="3"/>
      <c r="F431" s="3"/>
      <c r="G431" s="3"/>
    </row>
    <row r="432" spans="3:7" ht="14.85" x14ac:dyDescent="0.25">
      <c r="C432" s="3"/>
      <c r="F432" s="3"/>
      <c r="G432" s="3"/>
    </row>
    <row r="433" spans="3:7" ht="14.85" x14ac:dyDescent="0.25">
      <c r="C433" s="3"/>
      <c r="F433" s="3"/>
      <c r="G433" s="3"/>
    </row>
    <row r="434" spans="3:7" ht="14.85" x14ac:dyDescent="0.25">
      <c r="C434" s="3"/>
      <c r="F434" s="3"/>
      <c r="G434" s="3"/>
    </row>
    <row r="435" spans="3:7" ht="14.85" x14ac:dyDescent="0.25">
      <c r="C435" s="3"/>
      <c r="F435" s="3"/>
      <c r="G435" s="3"/>
    </row>
    <row r="436" spans="3:7" ht="14.85" x14ac:dyDescent="0.25">
      <c r="C436" s="3"/>
      <c r="F436" s="3"/>
      <c r="G436" s="3"/>
    </row>
    <row r="437" spans="3:7" ht="14.85" x14ac:dyDescent="0.25">
      <c r="C437" s="3"/>
      <c r="F437" s="3"/>
      <c r="G437" s="3"/>
    </row>
    <row r="438" spans="3:7" ht="14.85" x14ac:dyDescent="0.25">
      <c r="C438" s="3"/>
      <c r="F438" s="3"/>
      <c r="G438" s="3"/>
    </row>
    <row r="439" spans="3:7" ht="14.85" x14ac:dyDescent="0.25">
      <c r="C439" s="3"/>
      <c r="F439" s="3"/>
      <c r="G439" s="3"/>
    </row>
    <row r="440" spans="3:7" ht="14.85" x14ac:dyDescent="0.25">
      <c r="C440" s="3"/>
      <c r="F440" s="3"/>
      <c r="G440" s="3"/>
    </row>
    <row r="441" spans="3:7" ht="14.85" x14ac:dyDescent="0.25">
      <c r="C441" s="3"/>
      <c r="F441" s="3"/>
      <c r="G441" s="3"/>
    </row>
    <row r="442" spans="3:7" ht="14.85" x14ac:dyDescent="0.25">
      <c r="C442" s="3"/>
      <c r="F442" s="3"/>
      <c r="G442" s="3"/>
    </row>
    <row r="443" spans="3:7" ht="14.85" x14ac:dyDescent="0.25">
      <c r="C443" s="3"/>
      <c r="F443" s="3"/>
      <c r="G443" s="3"/>
    </row>
    <row r="444" spans="3:7" ht="14.85" x14ac:dyDescent="0.25">
      <c r="C444" s="3"/>
      <c r="F444" s="3"/>
      <c r="G444" s="3"/>
    </row>
    <row r="445" spans="3:7" ht="14.85" x14ac:dyDescent="0.25">
      <c r="C445" s="3"/>
      <c r="F445" s="3"/>
      <c r="G445" s="3"/>
    </row>
    <row r="446" spans="3:7" ht="14.85" x14ac:dyDescent="0.25">
      <c r="C446" s="3"/>
      <c r="F446" s="3"/>
      <c r="G446" s="3"/>
    </row>
    <row r="447" spans="3:7" ht="14.85" x14ac:dyDescent="0.25">
      <c r="C447" s="3"/>
      <c r="F447" s="3"/>
      <c r="G447" s="3"/>
    </row>
    <row r="448" spans="3:7" ht="14.85" x14ac:dyDescent="0.25">
      <c r="C448" s="3"/>
      <c r="F448" s="3"/>
      <c r="G448" s="3"/>
    </row>
    <row r="449" spans="3:7" ht="14.85" x14ac:dyDescent="0.25">
      <c r="C449" s="3"/>
      <c r="F449" s="3"/>
      <c r="G449" s="3"/>
    </row>
    <row r="450" spans="3:7" ht="14.85" x14ac:dyDescent="0.25">
      <c r="C450" s="3"/>
      <c r="F450" s="3"/>
      <c r="G450" s="3"/>
    </row>
    <row r="451" spans="3:7" ht="14.85" x14ac:dyDescent="0.25">
      <c r="C451" s="3"/>
      <c r="F451" s="3"/>
      <c r="G451" s="3"/>
    </row>
    <row r="452" spans="3:7" ht="14.85" x14ac:dyDescent="0.25">
      <c r="C452" s="3"/>
      <c r="F452" s="3"/>
      <c r="G452" s="3"/>
    </row>
    <row r="453" spans="3:7" ht="14.85" x14ac:dyDescent="0.25">
      <c r="C453" s="3"/>
      <c r="F453" s="3"/>
      <c r="G453" s="3"/>
    </row>
    <row r="454" spans="3:7" ht="14.85" x14ac:dyDescent="0.25">
      <c r="C454" s="3"/>
      <c r="F454" s="3"/>
      <c r="G454" s="3"/>
    </row>
    <row r="455" spans="3:7" ht="14.85" x14ac:dyDescent="0.25">
      <c r="C455" s="3"/>
      <c r="F455" s="3"/>
      <c r="G455" s="3"/>
    </row>
    <row r="456" spans="3:7" ht="14.85" x14ac:dyDescent="0.25">
      <c r="C456" s="3"/>
      <c r="F456" s="3"/>
      <c r="G456" s="3"/>
    </row>
    <row r="457" spans="3:7" ht="14.85" x14ac:dyDescent="0.25">
      <c r="C457" s="3"/>
      <c r="F457" s="3"/>
      <c r="G457" s="3"/>
    </row>
    <row r="458" spans="3:7" ht="14.85" x14ac:dyDescent="0.25">
      <c r="C458" s="3"/>
      <c r="F458" s="3"/>
      <c r="G458" s="3"/>
    </row>
    <row r="459" spans="3:7" ht="14.85" x14ac:dyDescent="0.25">
      <c r="C459" s="3"/>
      <c r="F459" s="3"/>
      <c r="G459" s="3"/>
    </row>
    <row r="460" spans="3:7" ht="14.85" x14ac:dyDescent="0.25">
      <c r="C460" s="3"/>
      <c r="F460" s="3"/>
      <c r="G460" s="3"/>
    </row>
    <row r="461" spans="3:7" ht="14.85" x14ac:dyDescent="0.25">
      <c r="C461" s="3"/>
      <c r="F461" s="3"/>
      <c r="G461" s="3"/>
    </row>
    <row r="462" spans="3:7" ht="14.85" x14ac:dyDescent="0.25">
      <c r="C462" s="3"/>
      <c r="F462" s="3"/>
      <c r="G462" s="3"/>
    </row>
    <row r="463" spans="3:7" ht="14.85" x14ac:dyDescent="0.25">
      <c r="C463" s="3"/>
      <c r="F463" s="3"/>
      <c r="G463" s="3"/>
    </row>
    <row r="464" spans="3:7" ht="14.85" x14ac:dyDescent="0.25">
      <c r="C464" s="3"/>
      <c r="F464" s="3"/>
      <c r="G464" s="3"/>
    </row>
    <row r="465" spans="3:7" ht="14.85" x14ac:dyDescent="0.25">
      <c r="C465" s="3"/>
      <c r="F465" s="3"/>
      <c r="G465" s="3"/>
    </row>
    <row r="466" spans="3:7" ht="14.85" x14ac:dyDescent="0.25">
      <c r="C466" s="3"/>
      <c r="F466" s="3"/>
      <c r="G466" s="3"/>
    </row>
    <row r="467" spans="3:7" ht="14.85" x14ac:dyDescent="0.25">
      <c r="C467" s="3"/>
      <c r="F467" s="3"/>
      <c r="G467" s="3"/>
    </row>
    <row r="468" spans="3:7" ht="14.85" x14ac:dyDescent="0.25">
      <c r="C468" s="3"/>
      <c r="F468" s="3"/>
      <c r="G468" s="3"/>
    </row>
    <row r="469" spans="3:7" ht="14.85" x14ac:dyDescent="0.25">
      <c r="C469" s="3"/>
      <c r="F469" s="3"/>
      <c r="G469" s="3"/>
    </row>
    <row r="470" spans="3:7" ht="14.85" x14ac:dyDescent="0.25">
      <c r="C470" s="3"/>
      <c r="F470" s="3"/>
      <c r="G470" s="3"/>
    </row>
    <row r="471" spans="3:7" ht="14.85" x14ac:dyDescent="0.25">
      <c r="C471" s="3"/>
      <c r="F471" s="3"/>
      <c r="G471" s="3"/>
    </row>
    <row r="472" spans="3:7" ht="14.85" x14ac:dyDescent="0.25">
      <c r="C472" s="3"/>
      <c r="F472" s="3"/>
      <c r="G472" s="3"/>
    </row>
    <row r="473" spans="3:7" ht="14.85" x14ac:dyDescent="0.25">
      <c r="C473" s="3"/>
      <c r="F473" s="3"/>
      <c r="G473" s="3"/>
    </row>
    <row r="474" spans="3:7" ht="14.85" x14ac:dyDescent="0.25">
      <c r="C474" s="3"/>
      <c r="F474" s="3"/>
      <c r="G474" s="3"/>
    </row>
    <row r="475" spans="3:7" ht="14.85" x14ac:dyDescent="0.25">
      <c r="C475" s="3"/>
      <c r="F475" s="3"/>
      <c r="G475" s="3"/>
    </row>
    <row r="476" spans="3:7" ht="14.85" x14ac:dyDescent="0.25">
      <c r="C476" s="3"/>
      <c r="F476" s="3"/>
      <c r="G476" s="3"/>
    </row>
    <row r="477" spans="3:7" ht="14.85" x14ac:dyDescent="0.25">
      <c r="C477" s="3"/>
      <c r="F477" s="3"/>
      <c r="G477" s="3"/>
    </row>
    <row r="478" spans="3:7" ht="14.85" x14ac:dyDescent="0.25">
      <c r="C478" s="3"/>
      <c r="F478" s="3"/>
      <c r="G478" s="3"/>
    </row>
    <row r="479" spans="3:7" ht="14.85" x14ac:dyDescent="0.25">
      <c r="C479" s="3"/>
      <c r="F479" s="3"/>
      <c r="G479" s="3"/>
    </row>
    <row r="480" spans="3:7" ht="14.85" x14ac:dyDescent="0.25">
      <c r="C480" s="3"/>
      <c r="F480" s="3"/>
      <c r="G480" s="3"/>
    </row>
    <row r="481" spans="3:7" ht="14.85" x14ac:dyDescent="0.25">
      <c r="C481" s="3"/>
      <c r="F481" s="3"/>
      <c r="G481" s="3"/>
    </row>
    <row r="482" spans="3:7" ht="14.85" x14ac:dyDescent="0.25">
      <c r="C482" s="3"/>
      <c r="F482" s="3"/>
      <c r="G482" s="3"/>
    </row>
    <row r="483" spans="3:7" ht="14.85" x14ac:dyDescent="0.25">
      <c r="C483" s="3"/>
      <c r="F483" s="3"/>
      <c r="G483" s="3"/>
    </row>
    <row r="484" spans="3:7" ht="14.85" x14ac:dyDescent="0.25">
      <c r="C484" s="3"/>
      <c r="F484" s="3"/>
      <c r="G484" s="3"/>
    </row>
    <row r="485" spans="3:7" ht="14.85" x14ac:dyDescent="0.25">
      <c r="C485" s="3"/>
      <c r="F485" s="3"/>
      <c r="G485" s="3"/>
    </row>
    <row r="486" spans="3:7" ht="14.85" x14ac:dyDescent="0.25">
      <c r="C486" s="3"/>
      <c r="F486" s="3"/>
      <c r="G486" s="3"/>
    </row>
    <row r="487" spans="3:7" ht="14.85" x14ac:dyDescent="0.25">
      <c r="C487" s="3"/>
      <c r="F487" s="3"/>
      <c r="G487" s="3"/>
    </row>
    <row r="488" spans="3:7" ht="14.85" x14ac:dyDescent="0.25">
      <c r="C488" s="3"/>
      <c r="F488" s="3"/>
      <c r="G488" s="3"/>
    </row>
    <row r="489" spans="3:7" ht="14.85" x14ac:dyDescent="0.25">
      <c r="C489" s="3"/>
      <c r="F489" s="3"/>
      <c r="G489" s="3"/>
    </row>
    <row r="490" spans="3:7" ht="14.85" x14ac:dyDescent="0.25">
      <c r="C490" s="3"/>
      <c r="F490" s="3"/>
      <c r="G490" s="3"/>
    </row>
    <row r="491" spans="3:7" ht="14.85" x14ac:dyDescent="0.25">
      <c r="C491" s="3"/>
      <c r="F491" s="3"/>
      <c r="G491" s="3"/>
    </row>
    <row r="492" spans="3:7" ht="14.85" x14ac:dyDescent="0.25">
      <c r="C492" s="3"/>
      <c r="F492" s="3"/>
      <c r="G492" s="3"/>
    </row>
    <row r="493" spans="3:7" ht="14.85" x14ac:dyDescent="0.25">
      <c r="C493" s="3"/>
      <c r="F493" s="3"/>
      <c r="G493" s="3"/>
    </row>
    <row r="494" spans="3:7" ht="14.85" x14ac:dyDescent="0.25">
      <c r="C494" s="3"/>
      <c r="F494" s="3"/>
      <c r="G494" s="3"/>
    </row>
    <row r="495" spans="3:7" ht="14.85" x14ac:dyDescent="0.25">
      <c r="C495" s="3"/>
      <c r="F495" s="3"/>
      <c r="G495" s="3"/>
    </row>
    <row r="496" spans="3:7" ht="14.85" x14ac:dyDescent="0.25">
      <c r="C496" s="3"/>
      <c r="F496" s="3"/>
      <c r="G496" s="3"/>
    </row>
    <row r="497" spans="3:7" ht="14.85" x14ac:dyDescent="0.25">
      <c r="C497" s="3"/>
      <c r="F497" s="3"/>
      <c r="G497" s="3"/>
    </row>
    <row r="498" spans="3:7" ht="14.85" x14ac:dyDescent="0.25">
      <c r="C498" s="3"/>
      <c r="F498" s="3"/>
      <c r="G498" s="3"/>
    </row>
    <row r="499" spans="3:7" ht="14.85" x14ac:dyDescent="0.25">
      <c r="C499" s="3"/>
      <c r="F499" s="3"/>
      <c r="G499" s="3"/>
    </row>
    <row r="500" spans="3:7" ht="14.85" x14ac:dyDescent="0.25">
      <c r="C500" s="3"/>
      <c r="F500" s="3"/>
      <c r="G500" s="3"/>
    </row>
    <row r="501" spans="3:7" ht="14.85" x14ac:dyDescent="0.25">
      <c r="C501" s="3"/>
      <c r="F501" s="3"/>
      <c r="G501" s="3"/>
    </row>
    <row r="502" spans="3:7" ht="14.85" x14ac:dyDescent="0.25">
      <c r="C502" s="3"/>
      <c r="F502" s="3"/>
      <c r="G502" s="3"/>
    </row>
    <row r="503" spans="3:7" ht="14.85" x14ac:dyDescent="0.25">
      <c r="C503" s="3"/>
      <c r="F503" s="3"/>
      <c r="G503" s="3"/>
    </row>
    <row r="504" spans="3:7" ht="14.85" x14ac:dyDescent="0.25">
      <c r="C504" s="3"/>
      <c r="F504" s="3"/>
      <c r="G504" s="3"/>
    </row>
    <row r="505" spans="3:7" ht="14.85" x14ac:dyDescent="0.25">
      <c r="C505" s="3"/>
      <c r="F505" s="3"/>
      <c r="G505" s="3"/>
    </row>
    <row r="506" spans="3:7" ht="14.85" x14ac:dyDescent="0.25">
      <c r="C506" s="3"/>
      <c r="F506" s="3"/>
      <c r="G506" s="3"/>
    </row>
    <row r="507" spans="3:7" ht="14.85" x14ac:dyDescent="0.25">
      <c r="C507" s="3"/>
      <c r="F507" s="3"/>
      <c r="G507" s="3"/>
    </row>
    <row r="508" spans="3:7" ht="14.85" x14ac:dyDescent="0.25">
      <c r="C508" s="3"/>
      <c r="F508" s="3"/>
      <c r="G508" s="3"/>
    </row>
    <row r="509" spans="3:7" ht="14.85" x14ac:dyDescent="0.25">
      <c r="C509" s="3"/>
      <c r="F509" s="3"/>
      <c r="G509" s="3"/>
    </row>
    <row r="510" spans="3:7" ht="14.85" x14ac:dyDescent="0.25">
      <c r="C510" s="3"/>
      <c r="F510" s="3"/>
      <c r="G510" s="3"/>
    </row>
    <row r="511" spans="3:7" ht="14.85" x14ac:dyDescent="0.25">
      <c r="C511" s="3"/>
      <c r="F511" s="3"/>
      <c r="G511" s="3"/>
    </row>
    <row r="512" spans="3:7" ht="14.85" x14ac:dyDescent="0.25">
      <c r="C512" s="3"/>
      <c r="F512" s="3"/>
      <c r="G512" s="3"/>
    </row>
    <row r="513" spans="3:7" ht="14.85" x14ac:dyDescent="0.25">
      <c r="C513" s="3"/>
      <c r="F513" s="3"/>
      <c r="G513" s="3"/>
    </row>
    <row r="514" spans="3:7" ht="14.85" x14ac:dyDescent="0.25">
      <c r="C514" s="3"/>
      <c r="F514" s="3"/>
      <c r="G514" s="3"/>
    </row>
    <row r="515" spans="3:7" ht="14.85" x14ac:dyDescent="0.25">
      <c r="C515" s="3"/>
      <c r="F515" s="3"/>
      <c r="G515" s="3"/>
    </row>
    <row r="516" spans="3:7" ht="14.85" x14ac:dyDescent="0.25">
      <c r="C516" s="3"/>
      <c r="F516" s="3"/>
      <c r="G516" s="3"/>
    </row>
    <row r="517" spans="3:7" ht="14.85" x14ac:dyDescent="0.25">
      <c r="C517" s="3"/>
      <c r="F517" s="3"/>
      <c r="G517" s="3"/>
    </row>
    <row r="518" spans="3:7" ht="14.85" x14ac:dyDescent="0.25">
      <c r="C518" s="3"/>
      <c r="F518" s="3"/>
      <c r="G518" s="3"/>
    </row>
    <row r="519" spans="3:7" ht="14.85" x14ac:dyDescent="0.25">
      <c r="C519" s="3"/>
      <c r="F519" s="3"/>
      <c r="G519" s="3"/>
    </row>
    <row r="520" spans="3:7" ht="14.85" x14ac:dyDescent="0.25">
      <c r="C520" s="3"/>
      <c r="F520" s="3"/>
      <c r="G520" s="3"/>
    </row>
    <row r="521" spans="3:7" ht="14.85" x14ac:dyDescent="0.25">
      <c r="C521" s="3"/>
      <c r="F521" s="3"/>
      <c r="G521" s="3"/>
    </row>
    <row r="522" spans="3:7" ht="14.85" x14ac:dyDescent="0.25">
      <c r="C522" s="3"/>
      <c r="F522" s="3"/>
      <c r="G522" s="3"/>
    </row>
    <row r="523" spans="3:7" ht="14.85" x14ac:dyDescent="0.25">
      <c r="C523" s="3"/>
      <c r="F523" s="3"/>
      <c r="G523" s="3"/>
    </row>
    <row r="524" spans="3:7" ht="14.85" x14ac:dyDescent="0.25">
      <c r="C524" s="3"/>
      <c r="F524" s="3"/>
      <c r="G524" s="3"/>
    </row>
    <row r="525" spans="3:7" ht="14.85" x14ac:dyDescent="0.25">
      <c r="C525" s="3"/>
      <c r="F525" s="3"/>
      <c r="G525" s="3"/>
    </row>
    <row r="526" spans="3:7" ht="14.85" x14ac:dyDescent="0.25">
      <c r="C526" s="3"/>
      <c r="F526" s="3"/>
      <c r="G526" s="3"/>
    </row>
    <row r="527" spans="3:7" ht="14.85" x14ac:dyDescent="0.25">
      <c r="C527" s="3"/>
      <c r="F527" s="3"/>
      <c r="G527" s="3"/>
    </row>
    <row r="528" spans="3:7" ht="14.85" x14ac:dyDescent="0.25">
      <c r="C528" s="3"/>
      <c r="F528" s="3"/>
      <c r="G528" s="3"/>
    </row>
    <row r="529" spans="3:7" ht="14.85" x14ac:dyDescent="0.25">
      <c r="C529" s="3"/>
      <c r="F529" s="3"/>
      <c r="G529" s="3"/>
    </row>
    <row r="530" spans="3:7" ht="14.85" x14ac:dyDescent="0.25">
      <c r="C530" s="3"/>
      <c r="F530" s="3"/>
      <c r="G530" s="3"/>
    </row>
    <row r="531" spans="3:7" ht="14.85" x14ac:dyDescent="0.25">
      <c r="C531" s="3"/>
      <c r="F531" s="3"/>
      <c r="G531" s="3"/>
    </row>
    <row r="532" spans="3:7" ht="14.85" x14ac:dyDescent="0.25">
      <c r="C532" s="3"/>
      <c r="F532" s="3"/>
      <c r="G532" s="3"/>
    </row>
    <row r="533" spans="3:7" ht="14.85" x14ac:dyDescent="0.25">
      <c r="C533" s="3"/>
      <c r="F533" s="3"/>
      <c r="G533" s="3"/>
    </row>
    <row r="534" spans="3:7" ht="14.85" x14ac:dyDescent="0.25">
      <c r="C534" s="3"/>
      <c r="F534" s="3"/>
      <c r="G534" s="3"/>
    </row>
    <row r="535" spans="3:7" ht="14.85" x14ac:dyDescent="0.25">
      <c r="C535" s="3"/>
      <c r="F535" s="3"/>
      <c r="G535" s="3"/>
    </row>
    <row r="536" spans="3:7" ht="14.85" x14ac:dyDescent="0.25">
      <c r="C536" s="3"/>
      <c r="F536" s="3"/>
      <c r="G536" s="3"/>
    </row>
    <row r="537" spans="3:7" ht="14.85" x14ac:dyDescent="0.25">
      <c r="C537" s="3"/>
      <c r="F537" s="3"/>
      <c r="G537" s="3"/>
    </row>
    <row r="538" spans="3:7" ht="14.85" x14ac:dyDescent="0.25">
      <c r="C538" s="3"/>
      <c r="F538" s="3"/>
      <c r="G538" s="3"/>
    </row>
    <row r="539" spans="3:7" ht="14.85" x14ac:dyDescent="0.25">
      <c r="C539" s="3"/>
      <c r="F539" s="3"/>
      <c r="G539" s="3"/>
    </row>
    <row r="540" spans="3:7" ht="14.85" x14ac:dyDescent="0.25">
      <c r="C540" s="3"/>
      <c r="F540" s="3"/>
      <c r="G540" s="3"/>
    </row>
    <row r="541" spans="3:7" ht="14.85" x14ac:dyDescent="0.25">
      <c r="C541" s="3"/>
      <c r="F541" s="3"/>
      <c r="G541" s="3"/>
    </row>
    <row r="542" spans="3:7" ht="14.85" x14ac:dyDescent="0.25">
      <c r="C542" s="3"/>
      <c r="F542" s="3"/>
      <c r="G542" s="3"/>
    </row>
    <row r="543" spans="3:7" ht="14.85" x14ac:dyDescent="0.25">
      <c r="C543" s="3"/>
      <c r="F543" s="3"/>
      <c r="G543" s="3"/>
    </row>
    <row r="544" spans="3:7" ht="14.85" x14ac:dyDescent="0.25">
      <c r="C544" s="3"/>
      <c r="F544" s="3"/>
      <c r="G544" s="3"/>
    </row>
    <row r="545" spans="3:7" ht="14.85" x14ac:dyDescent="0.25">
      <c r="C545" s="3"/>
      <c r="F545" s="3"/>
      <c r="G545" s="3"/>
    </row>
    <row r="546" spans="3:7" ht="14.85" x14ac:dyDescent="0.25">
      <c r="C546" s="3"/>
      <c r="F546" s="3"/>
      <c r="G546" s="3"/>
    </row>
    <row r="547" spans="3:7" ht="14.85" x14ac:dyDescent="0.25">
      <c r="C547" s="3"/>
      <c r="F547" s="3"/>
      <c r="G547" s="3"/>
    </row>
    <row r="548" spans="3:7" ht="14.85" x14ac:dyDescent="0.25">
      <c r="C548" s="3"/>
      <c r="F548" s="3"/>
      <c r="G548" s="3"/>
    </row>
    <row r="549" spans="3:7" ht="14.85" x14ac:dyDescent="0.25">
      <c r="C549" s="3"/>
      <c r="F549" s="3"/>
      <c r="G549" s="3"/>
    </row>
    <row r="550" spans="3:7" ht="14.85" x14ac:dyDescent="0.25">
      <c r="C550" s="3"/>
      <c r="F550" s="3"/>
      <c r="G550" s="3"/>
    </row>
    <row r="551" spans="3:7" ht="14.85" x14ac:dyDescent="0.25">
      <c r="C551" s="3"/>
      <c r="F551" s="3"/>
      <c r="G551" s="3"/>
    </row>
    <row r="552" spans="3:7" ht="14.85" x14ac:dyDescent="0.25">
      <c r="C552" s="3"/>
      <c r="F552" s="3"/>
      <c r="G552" s="3"/>
    </row>
    <row r="553" spans="3:7" ht="14.85" x14ac:dyDescent="0.25">
      <c r="C553" s="3"/>
      <c r="F553" s="3"/>
      <c r="G553" s="3"/>
    </row>
    <row r="554" spans="3:7" ht="14.85" x14ac:dyDescent="0.25">
      <c r="C554" s="3"/>
      <c r="F554" s="3"/>
      <c r="G554" s="3"/>
    </row>
    <row r="555" spans="3:7" ht="14.85" x14ac:dyDescent="0.25">
      <c r="C555" s="3"/>
      <c r="F555" s="3"/>
      <c r="G555" s="3"/>
    </row>
    <row r="556" spans="3:7" ht="14.85" x14ac:dyDescent="0.25">
      <c r="C556" s="3"/>
      <c r="F556" s="3"/>
      <c r="G556" s="3"/>
    </row>
    <row r="557" spans="3:7" ht="14.85" x14ac:dyDescent="0.25">
      <c r="C557" s="3"/>
      <c r="F557" s="3"/>
      <c r="G557" s="3"/>
    </row>
    <row r="558" spans="3:7" ht="14.85" x14ac:dyDescent="0.25">
      <c r="C558" s="3"/>
      <c r="F558" s="3"/>
      <c r="G558" s="3"/>
    </row>
    <row r="559" spans="3:7" ht="14.85" x14ac:dyDescent="0.25">
      <c r="C559" s="3"/>
      <c r="F559" s="3"/>
      <c r="G559" s="3"/>
    </row>
    <row r="560" spans="3:7" ht="14.85" x14ac:dyDescent="0.25">
      <c r="C560" s="3"/>
      <c r="F560" s="3"/>
      <c r="G560" s="3"/>
    </row>
    <row r="561" spans="3:7" ht="14.85" x14ac:dyDescent="0.25">
      <c r="C561" s="3"/>
      <c r="F561" s="3"/>
      <c r="G561" s="3"/>
    </row>
    <row r="562" spans="3:7" ht="14.85" x14ac:dyDescent="0.25">
      <c r="C562" s="3"/>
      <c r="F562" s="3"/>
      <c r="G562" s="3"/>
    </row>
    <row r="563" spans="3:7" ht="14.85" x14ac:dyDescent="0.25">
      <c r="C563" s="3"/>
      <c r="F563" s="3"/>
      <c r="G563" s="3"/>
    </row>
    <row r="564" spans="3:7" ht="14.85" x14ac:dyDescent="0.25">
      <c r="C564" s="3"/>
      <c r="F564" s="3"/>
      <c r="G564" s="3"/>
    </row>
    <row r="565" spans="3:7" ht="14.85" x14ac:dyDescent="0.25">
      <c r="C565" s="3"/>
      <c r="F565" s="3"/>
      <c r="G565" s="3"/>
    </row>
    <row r="566" spans="3:7" ht="14.85" x14ac:dyDescent="0.25">
      <c r="C566" s="3"/>
      <c r="F566" s="3"/>
      <c r="G566" s="3"/>
    </row>
    <row r="567" spans="3:7" ht="14.85" x14ac:dyDescent="0.25">
      <c r="C567" s="3"/>
      <c r="F567" s="3"/>
      <c r="G567" s="3"/>
    </row>
    <row r="568" spans="3:7" ht="14.85" x14ac:dyDescent="0.25">
      <c r="C568" s="3"/>
      <c r="F568" s="3"/>
      <c r="G568" s="3"/>
    </row>
    <row r="569" spans="3:7" ht="14.85" x14ac:dyDescent="0.25">
      <c r="C569" s="3"/>
      <c r="F569" s="3"/>
      <c r="G569" s="3"/>
    </row>
    <row r="570" spans="3:7" ht="14.85" x14ac:dyDescent="0.25">
      <c r="C570" s="3"/>
      <c r="F570" s="3"/>
      <c r="G570" s="3"/>
    </row>
    <row r="571" spans="3:7" ht="14.85" x14ac:dyDescent="0.25">
      <c r="C571" s="3"/>
      <c r="F571" s="3"/>
      <c r="G571" s="3"/>
    </row>
    <row r="572" spans="3:7" ht="14.85" x14ac:dyDescent="0.25">
      <c r="C572" s="3"/>
      <c r="F572" s="3"/>
      <c r="G572" s="3"/>
    </row>
    <row r="573" spans="3:7" ht="14.85" x14ac:dyDescent="0.25">
      <c r="C573" s="3"/>
      <c r="F573" s="3"/>
      <c r="G573" s="3"/>
    </row>
    <row r="574" spans="3:7" ht="14.85" x14ac:dyDescent="0.25">
      <c r="C574" s="3"/>
      <c r="F574" s="3"/>
      <c r="G574" s="3"/>
    </row>
    <row r="575" spans="3:7" ht="14.85" x14ac:dyDescent="0.25">
      <c r="C575" s="3"/>
      <c r="F575" s="3"/>
      <c r="G575" s="3"/>
    </row>
    <row r="576" spans="3:7" ht="14.85" x14ac:dyDescent="0.25">
      <c r="C576" s="3"/>
      <c r="F576" s="3"/>
      <c r="G576" s="3"/>
    </row>
    <row r="577" spans="3:7" ht="14.85" x14ac:dyDescent="0.25">
      <c r="C577" s="3"/>
      <c r="F577" s="3"/>
      <c r="G577" s="3"/>
    </row>
    <row r="578" spans="3:7" ht="14.85" x14ac:dyDescent="0.25">
      <c r="C578" s="3"/>
      <c r="F578" s="3"/>
      <c r="G578" s="3"/>
    </row>
    <row r="579" spans="3:7" ht="14.85" x14ac:dyDescent="0.25">
      <c r="C579" s="3"/>
      <c r="F579" s="3"/>
      <c r="G579" s="3"/>
    </row>
    <row r="580" spans="3:7" ht="14.85" x14ac:dyDescent="0.25">
      <c r="C580" s="3"/>
      <c r="F580" s="3"/>
      <c r="G580" s="3"/>
    </row>
    <row r="581" spans="3:7" ht="14.85" x14ac:dyDescent="0.25">
      <c r="C581" s="3"/>
      <c r="F581" s="3"/>
      <c r="G581" s="3"/>
    </row>
    <row r="582" spans="3:7" ht="14.85" x14ac:dyDescent="0.25">
      <c r="C582" s="3"/>
      <c r="F582" s="3"/>
      <c r="G582" s="3"/>
    </row>
    <row r="583" spans="3:7" ht="14.85" x14ac:dyDescent="0.25">
      <c r="C583" s="3"/>
      <c r="F583" s="3"/>
      <c r="G583" s="3"/>
    </row>
    <row r="584" spans="3:7" ht="14.85" x14ac:dyDescent="0.25">
      <c r="C584" s="3"/>
      <c r="F584" s="3"/>
      <c r="G584" s="3"/>
    </row>
    <row r="585" spans="3:7" ht="14.85" x14ac:dyDescent="0.25">
      <c r="C585" s="3"/>
      <c r="F585" s="3"/>
      <c r="G585" s="3"/>
    </row>
    <row r="586" spans="3:7" ht="14.85" x14ac:dyDescent="0.25">
      <c r="C586" s="3"/>
      <c r="F586" s="3"/>
      <c r="G586" s="3"/>
    </row>
    <row r="587" spans="3:7" ht="14.85" x14ac:dyDescent="0.25">
      <c r="C587" s="3"/>
      <c r="F587" s="3"/>
      <c r="G587" s="3"/>
    </row>
    <row r="588" spans="3:7" ht="14.85" x14ac:dyDescent="0.25">
      <c r="C588" s="3"/>
      <c r="F588" s="3"/>
      <c r="G588" s="3"/>
    </row>
    <row r="589" spans="3:7" ht="14.85" x14ac:dyDescent="0.25">
      <c r="C589" s="3"/>
      <c r="F589" s="3"/>
      <c r="G589" s="3"/>
    </row>
    <row r="590" spans="3:7" ht="14.85" x14ac:dyDescent="0.25">
      <c r="C590" s="3"/>
      <c r="F590" s="3"/>
      <c r="G590" s="3"/>
    </row>
    <row r="591" spans="3:7" ht="14.85" x14ac:dyDescent="0.25">
      <c r="C591" s="3"/>
      <c r="F591" s="3"/>
      <c r="G591" s="3"/>
    </row>
    <row r="592" spans="3:7" ht="14.85" x14ac:dyDescent="0.25">
      <c r="C592" s="3"/>
      <c r="F592" s="3"/>
      <c r="G592" s="3"/>
    </row>
    <row r="593" spans="3:7" ht="14.85" x14ac:dyDescent="0.25">
      <c r="C593" s="3"/>
      <c r="F593" s="3"/>
      <c r="G593" s="3"/>
    </row>
    <row r="594" spans="3:7" ht="14.85" x14ac:dyDescent="0.25">
      <c r="C594" s="3"/>
      <c r="F594" s="3"/>
      <c r="G594" s="3"/>
    </row>
    <row r="595" spans="3:7" ht="14.85" x14ac:dyDescent="0.25">
      <c r="C595" s="3"/>
      <c r="F595" s="3"/>
      <c r="G595" s="3"/>
    </row>
    <row r="596" spans="3:7" ht="14.85" x14ac:dyDescent="0.25">
      <c r="C596" s="3"/>
      <c r="F596" s="3"/>
      <c r="G596" s="3"/>
    </row>
    <row r="597" spans="3:7" ht="14.85" x14ac:dyDescent="0.25">
      <c r="C597" s="3"/>
      <c r="F597" s="3"/>
      <c r="G597" s="3"/>
    </row>
    <row r="598" spans="3:7" ht="14.85" x14ac:dyDescent="0.25">
      <c r="C598" s="3"/>
      <c r="F598" s="3"/>
      <c r="G598" s="3"/>
    </row>
    <row r="599" spans="3:7" ht="14.85" x14ac:dyDescent="0.25">
      <c r="C599" s="3"/>
      <c r="F599" s="3"/>
      <c r="G599" s="3"/>
    </row>
    <row r="600" spans="3:7" ht="14.85" x14ac:dyDescent="0.25">
      <c r="C600" s="3"/>
      <c r="F600" s="3"/>
      <c r="G600" s="3"/>
    </row>
    <row r="601" spans="3:7" ht="14.85" x14ac:dyDescent="0.25">
      <c r="C601" s="3"/>
      <c r="F601" s="3"/>
      <c r="G601" s="3"/>
    </row>
    <row r="602" spans="3:7" ht="14.85" x14ac:dyDescent="0.25">
      <c r="C602" s="3"/>
      <c r="F602" s="3"/>
      <c r="G602" s="3"/>
    </row>
    <row r="603" spans="3:7" ht="14.85" x14ac:dyDescent="0.25">
      <c r="C603" s="3"/>
      <c r="F603" s="3"/>
      <c r="G603" s="3"/>
    </row>
    <row r="604" spans="3:7" ht="14.85" x14ac:dyDescent="0.25">
      <c r="C604" s="3"/>
      <c r="F604" s="3"/>
      <c r="G604" s="3"/>
    </row>
    <row r="605" spans="3:7" ht="14.85" x14ac:dyDescent="0.25">
      <c r="C605" s="3"/>
      <c r="F605" s="3"/>
      <c r="G605" s="3"/>
    </row>
    <row r="606" spans="3:7" ht="14.85" x14ac:dyDescent="0.25">
      <c r="C606" s="3"/>
      <c r="F606" s="3"/>
      <c r="G606" s="3"/>
    </row>
    <row r="607" spans="3:7" ht="14.85" x14ac:dyDescent="0.25">
      <c r="C607" s="3"/>
      <c r="F607" s="3"/>
      <c r="G607" s="3"/>
    </row>
    <row r="608" spans="3:7" ht="14.85" x14ac:dyDescent="0.25">
      <c r="C608" s="3"/>
      <c r="F608" s="3"/>
      <c r="G608" s="3"/>
    </row>
    <row r="609" spans="3:7" ht="14.85" x14ac:dyDescent="0.25">
      <c r="C609" s="3"/>
      <c r="F609" s="3"/>
      <c r="G609" s="3"/>
    </row>
    <row r="610" spans="3:7" ht="14.85" x14ac:dyDescent="0.25">
      <c r="C610" s="3"/>
      <c r="F610" s="3"/>
      <c r="G610" s="3"/>
    </row>
    <row r="611" spans="3:7" ht="14.85" x14ac:dyDescent="0.25">
      <c r="C611" s="3"/>
      <c r="F611" s="3"/>
      <c r="G611" s="3"/>
    </row>
    <row r="612" spans="3:7" ht="14.85" x14ac:dyDescent="0.25">
      <c r="C612" s="3"/>
      <c r="F612" s="3"/>
      <c r="G612" s="3"/>
    </row>
    <row r="613" spans="3:7" ht="14.85" x14ac:dyDescent="0.25">
      <c r="C613" s="3"/>
      <c r="F613" s="3"/>
      <c r="G613" s="3"/>
    </row>
    <row r="614" spans="3:7" ht="14.85" x14ac:dyDescent="0.25">
      <c r="C614" s="3"/>
      <c r="F614" s="3"/>
      <c r="G614" s="3"/>
    </row>
    <row r="615" spans="3:7" ht="14.85" x14ac:dyDescent="0.25">
      <c r="C615" s="3"/>
      <c r="F615" s="3"/>
      <c r="G615" s="3"/>
    </row>
    <row r="616" spans="3:7" ht="14.85" x14ac:dyDescent="0.25">
      <c r="C616" s="3"/>
      <c r="F616" s="3"/>
      <c r="G616" s="3"/>
    </row>
    <row r="617" spans="3:7" ht="14.85" x14ac:dyDescent="0.25">
      <c r="C617" s="3"/>
      <c r="F617" s="3"/>
      <c r="G617" s="3"/>
    </row>
    <row r="618" spans="3:7" ht="14.85" x14ac:dyDescent="0.25">
      <c r="C618" s="3"/>
      <c r="F618" s="3"/>
      <c r="G618" s="3"/>
    </row>
    <row r="619" spans="3:7" ht="14.85" x14ac:dyDescent="0.25">
      <c r="C619" s="3"/>
      <c r="F619" s="3"/>
      <c r="G619" s="3"/>
    </row>
    <row r="620" spans="3:7" ht="14.85" x14ac:dyDescent="0.25">
      <c r="C620" s="3"/>
      <c r="F620" s="3"/>
      <c r="G620" s="3"/>
    </row>
    <row r="621" spans="3:7" ht="14.85" x14ac:dyDescent="0.25">
      <c r="C621" s="3"/>
      <c r="F621" s="3"/>
      <c r="G621" s="3"/>
    </row>
    <row r="622" spans="3:7" ht="14.85" x14ac:dyDescent="0.25">
      <c r="C622" s="3"/>
      <c r="F622" s="3"/>
      <c r="G622" s="3"/>
    </row>
    <row r="623" spans="3:7" ht="14.85" x14ac:dyDescent="0.25">
      <c r="C623" s="3"/>
      <c r="F623" s="3"/>
      <c r="G623" s="3"/>
    </row>
    <row r="624" spans="3:7" ht="14.85" x14ac:dyDescent="0.25">
      <c r="C624" s="3"/>
      <c r="F624" s="3"/>
      <c r="G624" s="3"/>
    </row>
    <row r="625" spans="3:7" ht="14.85" x14ac:dyDescent="0.25">
      <c r="C625" s="3"/>
      <c r="F625" s="3"/>
      <c r="G625" s="3"/>
    </row>
    <row r="626" spans="3:7" ht="14.85" x14ac:dyDescent="0.25">
      <c r="C626" s="3"/>
      <c r="F626" s="3"/>
      <c r="G626" s="3"/>
    </row>
    <row r="627" spans="3:7" ht="14.85" x14ac:dyDescent="0.25">
      <c r="C627" s="3"/>
      <c r="F627" s="3"/>
      <c r="G627" s="3"/>
    </row>
    <row r="628" spans="3:7" ht="14.85" x14ac:dyDescent="0.25">
      <c r="C628" s="3"/>
      <c r="F628" s="3"/>
      <c r="G628" s="3"/>
    </row>
    <row r="629" spans="3:7" ht="14.85" x14ac:dyDescent="0.25">
      <c r="C629" s="3"/>
      <c r="F629" s="3"/>
      <c r="G629" s="3"/>
    </row>
    <row r="630" spans="3:7" ht="14.85" x14ac:dyDescent="0.25">
      <c r="C630" s="3"/>
      <c r="F630" s="3"/>
      <c r="G630" s="3"/>
    </row>
    <row r="631" spans="3:7" ht="14.85" x14ac:dyDescent="0.25">
      <c r="C631" s="3"/>
      <c r="F631" s="3"/>
      <c r="G631" s="3"/>
    </row>
    <row r="632" spans="3:7" ht="14.85" x14ac:dyDescent="0.25">
      <c r="C632" s="3"/>
      <c r="F632" s="3"/>
      <c r="G632" s="3"/>
    </row>
    <row r="633" spans="3:7" ht="14.85" x14ac:dyDescent="0.25">
      <c r="C633" s="3"/>
      <c r="F633" s="3"/>
      <c r="G633" s="3"/>
    </row>
    <row r="634" spans="3:7" ht="14.85" x14ac:dyDescent="0.25">
      <c r="C634" s="3"/>
      <c r="F634" s="3"/>
      <c r="G634" s="3"/>
    </row>
    <row r="635" spans="3:7" ht="14.85" x14ac:dyDescent="0.25">
      <c r="C635" s="3"/>
      <c r="F635" s="3"/>
      <c r="G635" s="3"/>
    </row>
    <row r="636" spans="3:7" ht="14.85" x14ac:dyDescent="0.25">
      <c r="C636" s="3"/>
      <c r="F636" s="3"/>
      <c r="G636" s="3"/>
    </row>
    <row r="637" spans="3:7" ht="14.85" x14ac:dyDescent="0.25">
      <c r="C637" s="3"/>
      <c r="F637" s="3"/>
      <c r="G637" s="3"/>
    </row>
    <row r="638" spans="3:7" ht="14.85" x14ac:dyDescent="0.25">
      <c r="C638" s="3"/>
      <c r="F638" s="3"/>
      <c r="G638" s="3"/>
    </row>
    <row r="639" spans="3:7" ht="14.85" x14ac:dyDescent="0.25">
      <c r="C639" s="3"/>
      <c r="F639" s="3"/>
      <c r="G639" s="3"/>
    </row>
    <row r="640" spans="3:7" ht="14.85" x14ac:dyDescent="0.25">
      <c r="C640" s="3"/>
      <c r="F640" s="3"/>
      <c r="G640" s="3"/>
    </row>
    <row r="641" spans="3:7" ht="14.85" x14ac:dyDescent="0.25">
      <c r="C641" s="3"/>
      <c r="F641" s="3"/>
      <c r="G641" s="3"/>
    </row>
    <row r="642" spans="3:7" ht="14.85" x14ac:dyDescent="0.25">
      <c r="C642" s="3"/>
      <c r="F642" s="3"/>
      <c r="G642" s="3"/>
    </row>
    <row r="643" spans="3:7" ht="14.85" x14ac:dyDescent="0.25">
      <c r="C643" s="3"/>
      <c r="F643" s="3"/>
      <c r="G643" s="3"/>
    </row>
    <row r="644" spans="3:7" ht="14.85" x14ac:dyDescent="0.25">
      <c r="C644" s="3"/>
      <c r="F644" s="3"/>
      <c r="G644" s="3"/>
    </row>
    <row r="645" spans="3:7" ht="14.85" x14ac:dyDescent="0.25">
      <c r="C645" s="3"/>
      <c r="F645" s="3"/>
      <c r="G645" s="3"/>
    </row>
    <row r="646" spans="3:7" ht="14.85" x14ac:dyDescent="0.25">
      <c r="C646" s="3"/>
      <c r="F646" s="3"/>
      <c r="G646" s="3"/>
    </row>
    <row r="647" spans="3:7" ht="14.85" x14ac:dyDescent="0.25">
      <c r="C647" s="3"/>
      <c r="F647" s="3"/>
      <c r="G647" s="3"/>
    </row>
    <row r="648" spans="3:7" ht="14.85" x14ac:dyDescent="0.25">
      <c r="C648" s="3"/>
      <c r="F648" s="3"/>
      <c r="G648" s="3"/>
    </row>
    <row r="649" spans="3:7" ht="14.85" x14ac:dyDescent="0.25">
      <c r="C649" s="3"/>
      <c r="F649" s="3"/>
      <c r="G649" s="3"/>
    </row>
    <row r="650" spans="3:7" ht="14.85" x14ac:dyDescent="0.25">
      <c r="C650" s="3"/>
      <c r="F650" s="3"/>
      <c r="G650" s="3"/>
    </row>
    <row r="651" spans="3:7" ht="14.85" x14ac:dyDescent="0.25">
      <c r="C651" s="3"/>
      <c r="F651" s="3"/>
      <c r="G651" s="3"/>
    </row>
    <row r="652" spans="3:7" ht="14.85" x14ac:dyDescent="0.25">
      <c r="C652" s="3"/>
      <c r="F652" s="3"/>
      <c r="G652" s="3"/>
    </row>
    <row r="653" spans="3:7" ht="14.85" x14ac:dyDescent="0.25">
      <c r="C653" s="3"/>
      <c r="F653" s="3"/>
      <c r="G653" s="3"/>
    </row>
    <row r="654" spans="3:7" ht="14.85" x14ac:dyDescent="0.25">
      <c r="C654" s="3"/>
      <c r="F654" s="3"/>
      <c r="G654" s="3"/>
    </row>
    <row r="655" spans="3:7" ht="14.85" x14ac:dyDescent="0.25">
      <c r="C655" s="3"/>
      <c r="F655" s="3"/>
      <c r="G655" s="3"/>
    </row>
    <row r="656" spans="3:7" ht="14.85" x14ac:dyDescent="0.25">
      <c r="C656" s="3"/>
      <c r="F656" s="3"/>
      <c r="G656" s="3"/>
    </row>
    <row r="657" spans="3:7" ht="14.85" x14ac:dyDescent="0.25">
      <c r="C657" s="3"/>
      <c r="F657" s="3"/>
      <c r="G657" s="3"/>
    </row>
    <row r="658" spans="3:7" ht="14.85" x14ac:dyDescent="0.25">
      <c r="C658" s="3"/>
      <c r="F658" s="3"/>
      <c r="G658" s="3"/>
    </row>
    <row r="659" spans="3:7" ht="14.85" x14ac:dyDescent="0.25">
      <c r="C659" s="3"/>
      <c r="F659" s="3"/>
      <c r="G659" s="3"/>
    </row>
    <row r="660" spans="3:7" ht="14.85" x14ac:dyDescent="0.25">
      <c r="C660" s="3"/>
      <c r="F660" s="3"/>
      <c r="G660" s="3"/>
    </row>
    <row r="661" spans="3:7" ht="14.85" x14ac:dyDescent="0.25">
      <c r="C661" s="3"/>
      <c r="F661" s="3"/>
      <c r="G661" s="3"/>
    </row>
    <row r="662" spans="3:7" ht="14.85" x14ac:dyDescent="0.25">
      <c r="C662" s="3"/>
      <c r="F662" s="3"/>
      <c r="G662" s="3"/>
    </row>
    <row r="663" spans="3:7" ht="14.85" x14ac:dyDescent="0.25">
      <c r="C663" s="3"/>
      <c r="F663" s="3"/>
      <c r="G663" s="3"/>
    </row>
    <row r="664" spans="3:7" ht="14.85" x14ac:dyDescent="0.25">
      <c r="C664" s="3"/>
      <c r="F664" s="3"/>
      <c r="G664" s="3"/>
    </row>
    <row r="665" spans="3:7" ht="14.85" x14ac:dyDescent="0.25">
      <c r="C665" s="3"/>
      <c r="F665" s="3"/>
      <c r="G665" s="3"/>
    </row>
    <row r="666" spans="3:7" ht="14.85" x14ac:dyDescent="0.25">
      <c r="C666" s="3"/>
      <c r="F666" s="3"/>
      <c r="G666" s="3"/>
    </row>
    <row r="667" spans="3:7" ht="14.85" x14ac:dyDescent="0.25">
      <c r="C667" s="3"/>
      <c r="F667" s="3"/>
      <c r="G667" s="3"/>
    </row>
    <row r="668" spans="3:7" ht="14.85" x14ac:dyDescent="0.25">
      <c r="C668" s="3"/>
      <c r="F668" s="3"/>
      <c r="G668" s="3"/>
    </row>
    <row r="669" spans="3:7" ht="14.85" x14ac:dyDescent="0.25">
      <c r="C669" s="3"/>
      <c r="F669" s="3"/>
      <c r="G669" s="3"/>
    </row>
    <row r="670" spans="3:7" ht="14.85" x14ac:dyDescent="0.25">
      <c r="C670" s="3"/>
      <c r="F670" s="3"/>
      <c r="G670" s="3"/>
    </row>
    <row r="671" spans="3:7" ht="14.85" x14ac:dyDescent="0.25">
      <c r="C671" s="3"/>
      <c r="F671" s="3"/>
      <c r="G671" s="3"/>
    </row>
    <row r="672" spans="3:7" ht="14.85" x14ac:dyDescent="0.25">
      <c r="C672" s="3"/>
      <c r="F672" s="3"/>
      <c r="G672" s="3"/>
    </row>
    <row r="673" spans="3:7" ht="14.85" x14ac:dyDescent="0.25">
      <c r="C673" s="3"/>
      <c r="F673" s="3"/>
      <c r="G673" s="3"/>
    </row>
    <row r="674" spans="3:7" ht="14.85" x14ac:dyDescent="0.25">
      <c r="C674" s="3"/>
      <c r="F674" s="3"/>
      <c r="G674" s="3"/>
    </row>
    <row r="675" spans="3:7" ht="14.85" x14ac:dyDescent="0.25">
      <c r="C675" s="3"/>
      <c r="F675" s="3"/>
      <c r="G675" s="3"/>
    </row>
    <row r="676" spans="3:7" ht="14.85" x14ac:dyDescent="0.25">
      <c r="C676" s="3"/>
      <c r="F676" s="3"/>
      <c r="G676" s="3"/>
    </row>
    <row r="677" spans="3:7" ht="14.85" x14ac:dyDescent="0.25">
      <c r="C677" s="3"/>
      <c r="F677" s="3"/>
      <c r="G677" s="3"/>
    </row>
    <row r="678" spans="3:7" ht="14.85" x14ac:dyDescent="0.25">
      <c r="C678" s="3"/>
      <c r="F678" s="3"/>
      <c r="G678" s="3"/>
    </row>
    <row r="679" spans="3:7" ht="14.85" x14ac:dyDescent="0.25">
      <c r="C679" s="3"/>
      <c r="F679" s="3"/>
      <c r="G679" s="3"/>
    </row>
    <row r="680" spans="3:7" ht="14.85" x14ac:dyDescent="0.25">
      <c r="C680" s="3"/>
      <c r="F680" s="3"/>
      <c r="G680" s="3"/>
    </row>
    <row r="681" spans="3:7" ht="14.85" x14ac:dyDescent="0.25">
      <c r="C681" s="3"/>
      <c r="F681" s="3"/>
      <c r="G681" s="3"/>
    </row>
    <row r="682" spans="3:7" ht="14.85" x14ac:dyDescent="0.25">
      <c r="C682" s="3"/>
      <c r="F682" s="3"/>
      <c r="G682" s="3"/>
    </row>
    <row r="683" spans="3:7" ht="14.85" x14ac:dyDescent="0.25">
      <c r="C683" s="3"/>
      <c r="F683" s="3"/>
      <c r="G683" s="3"/>
    </row>
    <row r="684" spans="3:7" ht="14.85" x14ac:dyDescent="0.25">
      <c r="C684" s="3"/>
      <c r="F684" s="3"/>
      <c r="G684" s="3"/>
    </row>
    <row r="685" spans="3:7" ht="14.85" x14ac:dyDescent="0.25">
      <c r="C685" s="3"/>
      <c r="F685" s="3"/>
      <c r="G685" s="3"/>
    </row>
    <row r="686" spans="3:7" ht="14.85" x14ac:dyDescent="0.25">
      <c r="C686" s="3"/>
      <c r="F686" s="3"/>
      <c r="G686" s="3"/>
    </row>
    <row r="687" spans="3:7" ht="14.85" x14ac:dyDescent="0.25">
      <c r="C687" s="3"/>
      <c r="F687" s="3"/>
      <c r="G687" s="3"/>
    </row>
    <row r="688" spans="3:7" ht="14.85" x14ac:dyDescent="0.25">
      <c r="C688" s="3"/>
      <c r="F688" s="3"/>
      <c r="G688" s="3"/>
    </row>
    <row r="689" spans="3:7" ht="14.85" x14ac:dyDescent="0.25">
      <c r="C689" s="3"/>
      <c r="F689" s="3"/>
      <c r="G689" s="3"/>
    </row>
    <row r="690" spans="3:7" ht="14.85" x14ac:dyDescent="0.25">
      <c r="C690" s="3"/>
      <c r="F690" s="3"/>
      <c r="G690" s="3"/>
    </row>
    <row r="691" spans="3:7" ht="14.85" x14ac:dyDescent="0.25">
      <c r="C691" s="3"/>
      <c r="F691" s="3"/>
      <c r="G691" s="3"/>
    </row>
    <row r="692" spans="3:7" ht="14.85" x14ac:dyDescent="0.25">
      <c r="C692" s="3"/>
      <c r="F692" s="3"/>
      <c r="G692" s="3"/>
    </row>
    <row r="693" spans="3:7" ht="14.85" x14ac:dyDescent="0.25">
      <c r="C693" s="3"/>
      <c r="F693" s="3"/>
      <c r="G693" s="3"/>
    </row>
    <row r="694" spans="3:7" ht="14.85" x14ac:dyDescent="0.25">
      <c r="C694" s="3"/>
      <c r="F694" s="3"/>
      <c r="G694" s="3"/>
    </row>
    <row r="695" spans="3:7" ht="14.85" x14ac:dyDescent="0.25">
      <c r="C695" s="3"/>
      <c r="F695" s="3"/>
      <c r="G695" s="3"/>
    </row>
    <row r="696" spans="3:7" ht="14.85" x14ac:dyDescent="0.25">
      <c r="C696" s="3"/>
      <c r="F696" s="3"/>
      <c r="G696" s="3"/>
    </row>
    <row r="697" spans="3:7" ht="14.85" x14ac:dyDescent="0.25">
      <c r="C697" s="3"/>
      <c r="F697" s="3"/>
      <c r="G697" s="3"/>
    </row>
    <row r="698" spans="3:7" ht="14.85" x14ac:dyDescent="0.25">
      <c r="C698" s="3"/>
      <c r="F698" s="3"/>
      <c r="G698" s="3"/>
    </row>
    <row r="699" spans="3:7" ht="14.85" x14ac:dyDescent="0.25">
      <c r="C699" s="3"/>
      <c r="F699" s="3"/>
      <c r="G699" s="3"/>
    </row>
    <row r="700" spans="3:7" ht="14.85" x14ac:dyDescent="0.25">
      <c r="C700" s="3"/>
      <c r="F700" s="3"/>
      <c r="G700" s="3"/>
    </row>
    <row r="701" spans="3:7" ht="14.85" x14ac:dyDescent="0.25">
      <c r="C701" s="3"/>
      <c r="F701" s="3"/>
      <c r="G701" s="3"/>
    </row>
    <row r="702" spans="3:7" ht="14.85" x14ac:dyDescent="0.25">
      <c r="C702" s="3"/>
      <c r="F702" s="3"/>
      <c r="G702" s="3"/>
    </row>
    <row r="703" spans="3:7" ht="14.85" x14ac:dyDescent="0.25">
      <c r="C703" s="3"/>
      <c r="F703" s="3"/>
      <c r="G703" s="3"/>
    </row>
    <row r="704" spans="3:7" ht="14.85" x14ac:dyDescent="0.25">
      <c r="C704" s="3"/>
      <c r="F704" s="3"/>
      <c r="G704" s="3"/>
    </row>
    <row r="705" spans="3:7" ht="14.85" x14ac:dyDescent="0.25">
      <c r="C705" s="3"/>
      <c r="F705" s="3"/>
      <c r="G705" s="3"/>
    </row>
    <row r="706" spans="3:7" ht="14.85" x14ac:dyDescent="0.25">
      <c r="C706" s="3"/>
      <c r="F706" s="3"/>
      <c r="G706" s="3"/>
    </row>
    <row r="707" spans="3:7" ht="14.85" x14ac:dyDescent="0.25">
      <c r="C707" s="3"/>
      <c r="F707" s="3"/>
      <c r="G707" s="3"/>
    </row>
    <row r="708" spans="3:7" ht="14.85" x14ac:dyDescent="0.25">
      <c r="C708" s="3"/>
      <c r="F708" s="3"/>
      <c r="G708" s="3"/>
    </row>
    <row r="709" spans="3:7" ht="14.85" x14ac:dyDescent="0.25">
      <c r="C709" s="3"/>
      <c r="F709" s="3"/>
      <c r="G709" s="3"/>
    </row>
    <row r="710" spans="3:7" ht="14.85" x14ac:dyDescent="0.25">
      <c r="C710" s="3"/>
      <c r="F710" s="3"/>
      <c r="G710" s="3"/>
    </row>
    <row r="711" spans="3:7" ht="14.85" x14ac:dyDescent="0.25">
      <c r="C711" s="3"/>
      <c r="F711" s="3"/>
      <c r="G711" s="3"/>
    </row>
    <row r="712" spans="3:7" ht="14.85" x14ac:dyDescent="0.25">
      <c r="C712" s="3"/>
      <c r="F712" s="3"/>
      <c r="G712" s="3"/>
    </row>
    <row r="713" spans="3:7" ht="14.85" x14ac:dyDescent="0.25">
      <c r="C713" s="3"/>
      <c r="F713" s="3"/>
      <c r="G713" s="3"/>
    </row>
    <row r="714" spans="3:7" ht="14.85" x14ac:dyDescent="0.25">
      <c r="C714" s="3"/>
      <c r="F714" s="3"/>
      <c r="G714" s="3"/>
    </row>
    <row r="715" spans="3:7" ht="14.85" x14ac:dyDescent="0.25">
      <c r="C715" s="3"/>
      <c r="F715" s="3"/>
      <c r="G715" s="3"/>
    </row>
    <row r="716" spans="3:7" ht="14.85" x14ac:dyDescent="0.25">
      <c r="C716" s="3"/>
      <c r="F716" s="3"/>
      <c r="G716" s="3"/>
    </row>
    <row r="717" spans="3:7" ht="14.85" x14ac:dyDescent="0.25">
      <c r="C717" s="3"/>
      <c r="F717" s="3"/>
      <c r="G717" s="3"/>
    </row>
    <row r="718" spans="3:7" ht="14.85" x14ac:dyDescent="0.25">
      <c r="C718" s="3"/>
      <c r="F718" s="3"/>
      <c r="G718" s="3"/>
    </row>
    <row r="719" spans="3:7" ht="14.85" x14ac:dyDescent="0.25">
      <c r="C719" s="3"/>
      <c r="F719" s="3"/>
      <c r="G719" s="3"/>
    </row>
    <row r="720" spans="3:7" ht="14.85" x14ac:dyDescent="0.25">
      <c r="C720" s="3"/>
      <c r="F720" s="3"/>
      <c r="G720" s="3"/>
    </row>
    <row r="721" spans="3:7" ht="14.85" x14ac:dyDescent="0.25">
      <c r="C721" s="3"/>
      <c r="F721" s="3"/>
      <c r="G721" s="3"/>
    </row>
    <row r="722" spans="3:7" ht="14.85" x14ac:dyDescent="0.25">
      <c r="C722" s="3"/>
      <c r="F722" s="3"/>
      <c r="G722" s="3"/>
    </row>
    <row r="723" spans="3:7" ht="14.85" x14ac:dyDescent="0.25">
      <c r="C723" s="3"/>
      <c r="F723" s="3"/>
      <c r="G723" s="3"/>
    </row>
    <row r="724" spans="3:7" ht="14.85" x14ac:dyDescent="0.25">
      <c r="C724" s="3"/>
      <c r="F724" s="3"/>
      <c r="G724" s="3"/>
    </row>
    <row r="725" spans="3:7" ht="14.85" x14ac:dyDescent="0.25">
      <c r="C725" s="3"/>
      <c r="F725" s="3"/>
      <c r="G725" s="3"/>
    </row>
    <row r="726" spans="3:7" ht="14.85" x14ac:dyDescent="0.25">
      <c r="C726" s="3"/>
      <c r="F726" s="3"/>
      <c r="G726" s="3"/>
    </row>
    <row r="727" spans="3:7" ht="14.85" x14ac:dyDescent="0.25">
      <c r="C727" s="3"/>
      <c r="F727" s="3"/>
      <c r="G727" s="3"/>
    </row>
    <row r="728" spans="3:7" ht="14.85" x14ac:dyDescent="0.25">
      <c r="C728" s="3"/>
      <c r="F728" s="3"/>
      <c r="G728" s="3"/>
    </row>
    <row r="729" spans="3:7" ht="14.85" x14ac:dyDescent="0.25">
      <c r="C729" s="3"/>
      <c r="F729" s="3"/>
      <c r="G729" s="3"/>
    </row>
    <row r="730" spans="3:7" ht="14.85" x14ac:dyDescent="0.25">
      <c r="C730" s="3"/>
      <c r="F730" s="3"/>
      <c r="G730" s="3"/>
    </row>
    <row r="731" spans="3:7" ht="14.85" x14ac:dyDescent="0.25">
      <c r="C731" s="3"/>
      <c r="F731" s="3"/>
      <c r="G731" s="3"/>
    </row>
    <row r="732" spans="3:7" ht="14.85" x14ac:dyDescent="0.25">
      <c r="C732" s="3"/>
      <c r="F732" s="3"/>
      <c r="G732" s="3"/>
    </row>
    <row r="733" spans="3:7" ht="14.85" x14ac:dyDescent="0.25">
      <c r="C733" s="3"/>
      <c r="F733" s="3"/>
      <c r="G733" s="3"/>
    </row>
    <row r="734" spans="3:7" ht="14.85" x14ac:dyDescent="0.25">
      <c r="C734" s="3"/>
      <c r="F734" s="3"/>
      <c r="G734" s="3"/>
    </row>
    <row r="735" spans="3:7" ht="14.85" x14ac:dyDescent="0.25">
      <c r="C735" s="3"/>
      <c r="F735" s="3"/>
      <c r="G735" s="3"/>
    </row>
    <row r="736" spans="3:7" ht="14.85" x14ac:dyDescent="0.25">
      <c r="C736" s="3"/>
      <c r="F736" s="3"/>
      <c r="G736" s="3"/>
    </row>
    <row r="737" spans="3:7" ht="14.85" x14ac:dyDescent="0.25">
      <c r="C737" s="3"/>
      <c r="F737" s="3"/>
      <c r="G737" s="3"/>
    </row>
    <row r="738" spans="3:7" ht="14.85" x14ac:dyDescent="0.25">
      <c r="C738" s="3"/>
      <c r="F738" s="3"/>
      <c r="G738" s="3"/>
    </row>
    <row r="739" spans="3:7" ht="14.85" x14ac:dyDescent="0.25">
      <c r="C739" s="3"/>
      <c r="F739" s="3"/>
      <c r="G739" s="3"/>
    </row>
    <row r="740" spans="3:7" ht="14.85" x14ac:dyDescent="0.25">
      <c r="C740" s="3"/>
      <c r="F740" s="3"/>
      <c r="G740" s="3"/>
    </row>
    <row r="741" spans="3:7" ht="14.85" x14ac:dyDescent="0.25">
      <c r="C741" s="3"/>
      <c r="F741" s="3"/>
      <c r="G741" s="3"/>
    </row>
    <row r="742" spans="3:7" ht="14.85" x14ac:dyDescent="0.25">
      <c r="C742" s="3"/>
      <c r="F742" s="3"/>
      <c r="G742" s="3"/>
    </row>
    <row r="743" spans="3:7" ht="14.85" x14ac:dyDescent="0.25">
      <c r="C743" s="3"/>
      <c r="F743" s="3"/>
      <c r="G743" s="3"/>
    </row>
    <row r="744" spans="3:7" ht="14.85" x14ac:dyDescent="0.25">
      <c r="C744" s="3"/>
      <c r="F744" s="3"/>
      <c r="G744" s="3"/>
    </row>
    <row r="745" spans="3:7" ht="14.85" x14ac:dyDescent="0.25">
      <c r="C745" s="3"/>
      <c r="F745" s="3"/>
      <c r="G745" s="3"/>
    </row>
    <row r="746" spans="3:7" ht="14.85" x14ac:dyDescent="0.25">
      <c r="C746" s="3"/>
      <c r="F746" s="3"/>
      <c r="G746" s="3"/>
    </row>
    <row r="747" spans="3:7" ht="14.85" x14ac:dyDescent="0.25">
      <c r="C747" s="3"/>
      <c r="F747" s="3"/>
      <c r="G747" s="3"/>
    </row>
    <row r="748" spans="3:7" ht="14.85" x14ac:dyDescent="0.25">
      <c r="C748" s="3"/>
      <c r="F748" s="3"/>
      <c r="G748" s="3"/>
    </row>
    <row r="749" spans="3:7" ht="14.85" x14ac:dyDescent="0.25">
      <c r="C749" s="3"/>
      <c r="F749" s="3"/>
      <c r="G749" s="3"/>
    </row>
    <row r="750" spans="3:7" ht="14.85" x14ac:dyDescent="0.25">
      <c r="C750" s="3"/>
      <c r="F750" s="3"/>
      <c r="G750" s="3"/>
    </row>
    <row r="751" spans="3:7" ht="14.85" x14ac:dyDescent="0.25">
      <c r="C751" s="3"/>
      <c r="F751" s="3"/>
      <c r="G751" s="3"/>
    </row>
    <row r="752" spans="3:7" ht="14.85" x14ac:dyDescent="0.25">
      <c r="C752" s="3"/>
      <c r="F752" s="3"/>
      <c r="G752" s="3"/>
    </row>
    <row r="753" spans="3:7" ht="14.85" x14ac:dyDescent="0.25">
      <c r="C753" s="3"/>
      <c r="F753" s="3"/>
      <c r="G753" s="3"/>
    </row>
    <row r="754" spans="3:7" ht="14.85" x14ac:dyDescent="0.25">
      <c r="C754" s="3"/>
      <c r="F754" s="3"/>
      <c r="G754" s="3"/>
    </row>
    <row r="755" spans="3:7" ht="14.85" x14ac:dyDescent="0.25">
      <c r="C755" s="3"/>
      <c r="F755" s="3"/>
      <c r="G755" s="3"/>
    </row>
    <row r="756" spans="3:7" ht="14.85" x14ac:dyDescent="0.25">
      <c r="C756" s="3"/>
      <c r="F756" s="3"/>
      <c r="G756" s="3"/>
    </row>
    <row r="757" spans="3:7" ht="14.85" x14ac:dyDescent="0.25">
      <c r="C757" s="3"/>
      <c r="F757" s="3"/>
      <c r="G757" s="3"/>
    </row>
    <row r="758" spans="3:7" ht="14.85" x14ac:dyDescent="0.25">
      <c r="C758" s="3"/>
      <c r="F758" s="3"/>
      <c r="G758" s="3"/>
    </row>
    <row r="759" spans="3:7" ht="14.85" x14ac:dyDescent="0.25">
      <c r="C759" s="3"/>
      <c r="F759" s="3"/>
      <c r="G759" s="3"/>
    </row>
    <row r="760" spans="3:7" ht="14.85" x14ac:dyDescent="0.25">
      <c r="C760" s="3"/>
      <c r="F760" s="3"/>
      <c r="G760" s="3"/>
    </row>
    <row r="761" spans="3:7" ht="14.85" x14ac:dyDescent="0.25">
      <c r="C761" s="3"/>
      <c r="F761" s="3"/>
      <c r="G761" s="3"/>
    </row>
    <row r="762" spans="3:7" ht="14.85" x14ac:dyDescent="0.25">
      <c r="C762" s="3"/>
      <c r="F762" s="3"/>
      <c r="G762" s="3"/>
    </row>
    <row r="763" spans="3:7" ht="14.85" x14ac:dyDescent="0.25">
      <c r="C763" s="3"/>
      <c r="F763" s="3"/>
      <c r="G763" s="3"/>
    </row>
    <row r="764" spans="3:7" ht="14.85" x14ac:dyDescent="0.25">
      <c r="C764" s="3"/>
      <c r="F764" s="3"/>
      <c r="G764" s="3"/>
    </row>
    <row r="765" spans="3:7" ht="14.85" x14ac:dyDescent="0.25">
      <c r="C765" s="3"/>
      <c r="F765" s="3"/>
      <c r="G765" s="3"/>
    </row>
    <row r="766" spans="3:7" ht="14.85" x14ac:dyDescent="0.25">
      <c r="C766" s="3"/>
      <c r="F766" s="3"/>
      <c r="G766" s="3"/>
    </row>
    <row r="767" spans="3:7" ht="14.85" x14ac:dyDescent="0.25">
      <c r="C767" s="3"/>
      <c r="F767" s="3"/>
      <c r="G767" s="3"/>
    </row>
    <row r="768" spans="3:7" ht="14.85" x14ac:dyDescent="0.25">
      <c r="C768" s="3"/>
      <c r="F768" s="3"/>
      <c r="G768" s="3"/>
    </row>
    <row r="769" spans="3:7" ht="14.85" x14ac:dyDescent="0.25">
      <c r="C769" s="3"/>
      <c r="F769" s="3"/>
      <c r="G769" s="3"/>
    </row>
    <row r="770" spans="3:7" ht="14.85" x14ac:dyDescent="0.25">
      <c r="C770" s="3"/>
      <c r="F770" s="3"/>
      <c r="G770" s="3"/>
    </row>
    <row r="771" spans="3:7" ht="14.85" x14ac:dyDescent="0.25">
      <c r="C771" s="3"/>
      <c r="F771" s="3"/>
      <c r="G771" s="3"/>
    </row>
    <row r="772" spans="3:7" ht="14.85" x14ac:dyDescent="0.25">
      <c r="C772" s="3"/>
      <c r="F772" s="3"/>
      <c r="G772" s="3"/>
    </row>
    <row r="773" spans="3:7" ht="14.85" x14ac:dyDescent="0.25">
      <c r="C773" s="3"/>
      <c r="F773" s="3"/>
      <c r="G773" s="3"/>
    </row>
    <row r="774" spans="3:7" ht="14.85" x14ac:dyDescent="0.25">
      <c r="C774" s="3"/>
      <c r="F774" s="3"/>
      <c r="G774" s="3"/>
    </row>
    <row r="775" spans="3:7" ht="14.85" x14ac:dyDescent="0.25">
      <c r="C775" s="3"/>
      <c r="F775" s="3"/>
      <c r="G775" s="3"/>
    </row>
    <row r="776" spans="3:7" ht="14.85" x14ac:dyDescent="0.25">
      <c r="C776" s="3"/>
      <c r="F776" s="3"/>
      <c r="G776" s="3"/>
    </row>
    <row r="777" spans="3:7" ht="14.85" x14ac:dyDescent="0.25">
      <c r="C777" s="3"/>
      <c r="F777" s="3"/>
      <c r="G777" s="3"/>
    </row>
    <row r="778" spans="3:7" ht="14.85" x14ac:dyDescent="0.25">
      <c r="C778" s="3"/>
      <c r="F778" s="3"/>
      <c r="G778" s="3"/>
    </row>
    <row r="779" spans="3:7" ht="14.85" x14ac:dyDescent="0.25">
      <c r="C779" s="3"/>
      <c r="F779" s="3"/>
      <c r="G779" s="3"/>
    </row>
    <row r="780" spans="3:7" ht="14.85" x14ac:dyDescent="0.25">
      <c r="C780" s="3"/>
      <c r="F780" s="3"/>
      <c r="G780" s="3"/>
    </row>
    <row r="781" spans="3:7" ht="14.85" x14ac:dyDescent="0.25">
      <c r="C781" s="3"/>
      <c r="F781" s="3"/>
      <c r="G781" s="3"/>
    </row>
    <row r="782" spans="3:7" ht="14.85" x14ac:dyDescent="0.25">
      <c r="C782" s="3"/>
      <c r="F782" s="3"/>
      <c r="G782" s="3"/>
    </row>
    <row r="783" spans="3:7" ht="14.85" x14ac:dyDescent="0.25">
      <c r="C783" s="3"/>
      <c r="F783" s="3"/>
      <c r="G783" s="3"/>
    </row>
    <row r="784" spans="3:7" ht="14.85" x14ac:dyDescent="0.25">
      <c r="C784" s="3"/>
      <c r="F784" s="3"/>
      <c r="G784" s="3"/>
    </row>
    <row r="785" spans="3:7" ht="14.85" x14ac:dyDescent="0.25">
      <c r="C785" s="3"/>
      <c r="F785" s="3"/>
      <c r="G785" s="3"/>
    </row>
    <row r="786" spans="3:7" ht="14.85" x14ac:dyDescent="0.25">
      <c r="C786" s="3"/>
      <c r="F786" s="3"/>
      <c r="G786" s="3"/>
    </row>
    <row r="787" spans="3:7" ht="14.85" x14ac:dyDescent="0.25">
      <c r="C787" s="3"/>
      <c r="F787" s="3"/>
      <c r="G787" s="3"/>
    </row>
    <row r="788" spans="3:7" ht="14.85" x14ac:dyDescent="0.25">
      <c r="C788" s="3"/>
      <c r="F788" s="3"/>
      <c r="G788" s="3"/>
    </row>
    <row r="789" spans="3:7" ht="14.85" x14ac:dyDescent="0.25">
      <c r="C789" s="3"/>
      <c r="F789" s="3"/>
      <c r="G789" s="3"/>
    </row>
    <row r="790" spans="3:7" ht="14.85" x14ac:dyDescent="0.25">
      <c r="C790" s="3"/>
      <c r="F790" s="3"/>
      <c r="G790" s="3"/>
    </row>
    <row r="791" spans="3:7" ht="14.85" x14ac:dyDescent="0.25">
      <c r="C791" s="3"/>
      <c r="F791" s="3"/>
      <c r="G791" s="3"/>
    </row>
    <row r="792" spans="3:7" ht="14.85" x14ac:dyDescent="0.25">
      <c r="C792" s="3"/>
      <c r="F792" s="3"/>
      <c r="G792" s="3"/>
    </row>
    <row r="793" spans="3:7" ht="14.85" x14ac:dyDescent="0.25">
      <c r="C793" s="3"/>
      <c r="F793" s="3"/>
      <c r="G793" s="3"/>
    </row>
    <row r="794" spans="3:7" ht="14.85" x14ac:dyDescent="0.25">
      <c r="C794" s="3"/>
      <c r="F794" s="3"/>
      <c r="G794" s="3"/>
    </row>
    <row r="795" spans="3:7" ht="14.85" x14ac:dyDescent="0.25">
      <c r="C795" s="3"/>
      <c r="F795" s="3"/>
      <c r="G795" s="3"/>
    </row>
    <row r="796" spans="3:7" ht="14.85" x14ac:dyDescent="0.25">
      <c r="C796" s="3"/>
      <c r="F796" s="3"/>
      <c r="G796" s="3"/>
    </row>
    <row r="797" spans="3:7" ht="14.85" x14ac:dyDescent="0.25">
      <c r="C797" s="3"/>
      <c r="F797" s="3"/>
      <c r="G797" s="3"/>
    </row>
    <row r="798" spans="3:7" ht="14.85" x14ac:dyDescent="0.25">
      <c r="C798" s="3"/>
      <c r="F798" s="3"/>
      <c r="G798" s="3"/>
    </row>
    <row r="799" spans="3:7" ht="14.85" x14ac:dyDescent="0.25">
      <c r="C799" s="3"/>
      <c r="F799" s="3"/>
      <c r="G799" s="3"/>
    </row>
    <row r="800" spans="3:7" ht="14.85" x14ac:dyDescent="0.25">
      <c r="C800" s="3"/>
      <c r="F800" s="3"/>
      <c r="G800" s="3"/>
    </row>
    <row r="801" spans="3:7" ht="14.85" x14ac:dyDescent="0.25">
      <c r="C801" s="3"/>
      <c r="F801" s="3"/>
      <c r="G801" s="3"/>
    </row>
    <row r="802" spans="3:7" ht="14.85" x14ac:dyDescent="0.25">
      <c r="C802" s="3"/>
      <c r="F802" s="3"/>
      <c r="G802" s="3"/>
    </row>
    <row r="803" spans="3:7" ht="14.85" x14ac:dyDescent="0.25">
      <c r="C803" s="3"/>
      <c r="F803" s="3"/>
      <c r="G803" s="3"/>
    </row>
    <row r="804" spans="3:7" ht="14.85" x14ac:dyDescent="0.25">
      <c r="C804" s="3"/>
      <c r="F804" s="3"/>
      <c r="G804" s="3"/>
    </row>
    <row r="805" spans="3:7" ht="14.85" x14ac:dyDescent="0.25">
      <c r="C805" s="3"/>
      <c r="F805" s="3"/>
      <c r="G805" s="3"/>
    </row>
    <row r="806" spans="3:7" ht="14.85" x14ac:dyDescent="0.25">
      <c r="C806" s="3"/>
      <c r="F806" s="3"/>
      <c r="G806" s="3"/>
    </row>
    <row r="807" spans="3:7" ht="14.85" x14ac:dyDescent="0.25">
      <c r="C807" s="3"/>
      <c r="F807" s="3"/>
      <c r="G807" s="3"/>
    </row>
    <row r="808" spans="3:7" ht="14.85" x14ac:dyDescent="0.25">
      <c r="C808" s="3"/>
      <c r="F808" s="3"/>
      <c r="G808" s="3"/>
    </row>
    <row r="809" spans="3:7" ht="14.85" x14ac:dyDescent="0.25">
      <c r="C809" s="3"/>
      <c r="F809" s="3"/>
      <c r="G809" s="3"/>
    </row>
    <row r="810" spans="3:7" ht="14.85" x14ac:dyDescent="0.25">
      <c r="C810" s="3"/>
      <c r="F810" s="3"/>
      <c r="G810" s="3"/>
    </row>
    <row r="811" spans="3:7" ht="14.85" x14ac:dyDescent="0.25">
      <c r="C811" s="3"/>
      <c r="F811" s="3"/>
      <c r="G811" s="3"/>
    </row>
    <row r="812" spans="3:7" ht="14.85" x14ac:dyDescent="0.25">
      <c r="C812" s="3"/>
      <c r="F812" s="3"/>
      <c r="G812" s="3"/>
    </row>
    <row r="813" spans="3:7" ht="14.85" x14ac:dyDescent="0.25">
      <c r="C813" s="3"/>
      <c r="F813" s="3"/>
      <c r="G813" s="3"/>
    </row>
    <row r="814" spans="3:7" ht="14.85" x14ac:dyDescent="0.25">
      <c r="C814" s="3"/>
      <c r="F814" s="3"/>
      <c r="G814" s="3"/>
    </row>
    <row r="815" spans="3:7" ht="14.85" x14ac:dyDescent="0.25">
      <c r="C815" s="3"/>
      <c r="F815" s="3"/>
      <c r="G815" s="3"/>
    </row>
    <row r="816" spans="3:7" ht="14.85" x14ac:dyDescent="0.25">
      <c r="C816" s="3"/>
      <c r="F816" s="3"/>
      <c r="G816" s="3"/>
    </row>
    <row r="817" spans="3:7" ht="14.85" x14ac:dyDescent="0.25">
      <c r="C817" s="3"/>
      <c r="F817" s="3"/>
      <c r="G817" s="3"/>
    </row>
    <row r="818" spans="3:7" ht="14.85" x14ac:dyDescent="0.25">
      <c r="C818" s="3"/>
      <c r="F818" s="3"/>
      <c r="G818" s="3"/>
    </row>
    <row r="819" spans="3:7" ht="14.85" x14ac:dyDescent="0.25">
      <c r="C819" s="3"/>
      <c r="F819" s="3"/>
      <c r="G819" s="3"/>
    </row>
    <row r="820" spans="3:7" ht="14.85" x14ac:dyDescent="0.25">
      <c r="C820" s="3"/>
      <c r="F820" s="3"/>
      <c r="G820" s="3"/>
    </row>
    <row r="821" spans="3:7" ht="14.85" x14ac:dyDescent="0.25">
      <c r="C821" s="3"/>
      <c r="F821" s="3"/>
      <c r="G821" s="3"/>
    </row>
    <row r="822" spans="3:7" ht="14.85" x14ac:dyDescent="0.25">
      <c r="C822" s="3"/>
      <c r="F822" s="3"/>
      <c r="G822" s="3"/>
    </row>
    <row r="823" spans="3:7" ht="14.85" x14ac:dyDescent="0.25">
      <c r="C823" s="3"/>
      <c r="F823" s="3"/>
      <c r="G823" s="3"/>
    </row>
    <row r="824" spans="3:7" ht="14.85" x14ac:dyDescent="0.25">
      <c r="C824" s="3"/>
      <c r="F824" s="3"/>
      <c r="G824" s="3"/>
    </row>
    <row r="825" spans="3:7" ht="14.85" x14ac:dyDescent="0.25">
      <c r="C825" s="3"/>
      <c r="F825" s="3"/>
      <c r="G825" s="3"/>
    </row>
    <row r="826" spans="3:7" ht="14.85" x14ac:dyDescent="0.25">
      <c r="C826" s="3"/>
      <c r="F826" s="3"/>
      <c r="G826" s="3"/>
    </row>
    <row r="827" spans="3:7" ht="14.85" x14ac:dyDescent="0.25">
      <c r="C827" s="3"/>
      <c r="F827" s="3"/>
      <c r="G827" s="3"/>
    </row>
    <row r="828" spans="3:7" ht="14.85" x14ac:dyDescent="0.25">
      <c r="C828" s="3"/>
      <c r="F828" s="3"/>
      <c r="G828" s="3"/>
    </row>
    <row r="829" spans="3:7" ht="14.85" x14ac:dyDescent="0.25">
      <c r="C829" s="3"/>
      <c r="F829" s="3"/>
      <c r="G829" s="3"/>
    </row>
    <row r="830" spans="3:7" ht="14.85" x14ac:dyDescent="0.25">
      <c r="C830" s="3"/>
      <c r="F830" s="3"/>
      <c r="G830" s="3"/>
    </row>
    <row r="831" spans="3:7" ht="14.85" x14ac:dyDescent="0.25">
      <c r="C831" s="3"/>
      <c r="F831" s="3"/>
      <c r="G831" s="3"/>
    </row>
    <row r="832" spans="3:7" ht="14.85" x14ac:dyDescent="0.25">
      <c r="C832" s="3"/>
      <c r="F832" s="3"/>
      <c r="G832" s="3"/>
    </row>
    <row r="833" spans="3:7" ht="14.85" x14ac:dyDescent="0.25">
      <c r="C833" s="3"/>
      <c r="F833" s="3"/>
      <c r="G833" s="3"/>
    </row>
    <row r="834" spans="3:7" ht="14.85" x14ac:dyDescent="0.25">
      <c r="C834" s="3"/>
      <c r="F834" s="3"/>
      <c r="G834" s="3"/>
    </row>
    <row r="835" spans="3:7" ht="14.85" x14ac:dyDescent="0.25">
      <c r="C835" s="3"/>
      <c r="F835" s="3"/>
      <c r="G835" s="3"/>
    </row>
    <row r="836" spans="3:7" ht="14.85" x14ac:dyDescent="0.25">
      <c r="C836" s="3"/>
      <c r="F836" s="3"/>
      <c r="G836" s="3"/>
    </row>
    <row r="837" spans="3:7" ht="14.85" x14ac:dyDescent="0.25">
      <c r="C837" s="3"/>
      <c r="F837" s="3"/>
      <c r="G837" s="3"/>
    </row>
    <row r="838" spans="3:7" ht="14.85" x14ac:dyDescent="0.25">
      <c r="C838" s="3"/>
      <c r="F838" s="3"/>
      <c r="G838" s="3"/>
    </row>
    <row r="839" spans="3:7" ht="14.85" x14ac:dyDescent="0.25">
      <c r="C839" s="3"/>
      <c r="F839" s="3"/>
      <c r="G839" s="3"/>
    </row>
    <row r="840" spans="3:7" ht="14.85" x14ac:dyDescent="0.25">
      <c r="C840" s="3"/>
      <c r="F840" s="3"/>
      <c r="G840" s="3"/>
    </row>
    <row r="841" spans="3:7" ht="14.85" x14ac:dyDescent="0.25">
      <c r="C841" s="3"/>
      <c r="F841" s="3"/>
      <c r="G841" s="3"/>
    </row>
    <row r="842" spans="3:7" ht="14.85" x14ac:dyDescent="0.25">
      <c r="C842" s="3"/>
      <c r="F842" s="3"/>
      <c r="G842" s="3"/>
    </row>
    <row r="843" spans="3:7" ht="14.85" x14ac:dyDescent="0.25">
      <c r="C843" s="3"/>
      <c r="F843" s="3"/>
      <c r="G843" s="3"/>
    </row>
    <row r="844" spans="3:7" ht="14.85" x14ac:dyDescent="0.25">
      <c r="C844" s="3"/>
      <c r="F844" s="3"/>
      <c r="G844" s="3"/>
    </row>
    <row r="845" spans="3:7" ht="14.85" x14ac:dyDescent="0.25">
      <c r="C845" s="3"/>
      <c r="F845" s="3"/>
      <c r="G845" s="3"/>
    </row>
    <row r="846" spans="3:7" ht="14.85" x14ac:dyDescent="0.25">
      <c r="C846" s="3"/>
      <c r="F846" s="3"/>
      <c r="G846" s="3"/>
    </row>
    <row r="847" spans="3:7" ht="14.85" x14ac:dyDescent="0.25">
      <c r="C847" s="3"/>
      <c r="F847" s="3"/>
      <c r="G847" s="3"/>
    </row>
    <row r="848" spans="3:7" ht="14.85" x14ac:dyDescent="0.25">
      <c r="C848" s="3"/>
      <c r="F848" s="3"/>
      <c r="G848" s="3"/>
    </row>
    <row r="849" spans="3:7" ht="14.85" x14ac:dyDescent="0.25">
      <c r="C849" s="3"/>
      <c r="F849" s="3"/>
      <c r="G849" s="3"/>
    </row>
    <row r="850" spans="3:7" ht="14.85" x14ac:dyDescent="0.25">
      <c r="C850" s="3"/>
      <c r="F850" s="3"/>
      <c r="G850" s="3"/>
    </row>
    <row r="851" spans="3:7" ht="14.85" x14ac:dyDescent="0.25">
      <c r="C851" s="3"/>
      <c r="F851" s="3"/>
      <c r="G851" s="3"/>
    </row>
    <row r="852" spans="3:7" ht="14.85" x14ac:dyDescent="0.25">
      <c r="C852" s="3"/>
      <c r="F852" s="3"/>
      <c r="G852" s="3"/>
    </row>
    <row r="853" spans="3:7" ht="14.85" x14ac:dyDescent="0.25">
      <c r="C853" s="3"/>
      <c r="F853" s="3"/>
      <c r="G853" s="3"/>
    </row>
    <row r="854" spans="3:7" ht="14.85" x14ac:dyDescent="0.25">
      <c r="C854" s="3"/>
      <c r="F854" s="3"/>
      <c r="G854" s="3"/>
    </row>
    <row r="855" spans="3:7" ht="14.85" x14ac:dyDescent="0.25">
      <c r="C855" s="3"/>
      <c r="F855" s="3"/>
      <c r="G855" s="3"/>
    </row>
    <row r="856" spans="3:7" ht="14.85" x14ac:dyDescent="0.25">
      <c r="C856" s="3"/>
      <c r="F856" s="3"/>
      <c r="G856" s="3"/>
    </row>
    <row r="857" spans="3:7" ht="14.85" x14ac:dyDescent="0.25">
      <c r="C857" s="3"/>
      <c r="F857" s="3"/>
      <c r="G857" s="3"/>
    </row>
    <row r="858" spans="3:7" ht="14.85" x14ac:dyDescent="0.25">
      <c r="C858" s="3"/>
      <c r="F858" s="3"/>
      <c r="G858" s="3"/>
    </row>
    <row r="859" spans="3:7" ht="14.85" x14ac:dyDescent="0.25">
      <c r="C859" s="3"/>
      <c r="F859" s="3"/>
      <c r="G859" s="3"/>
    </row>
    <row r="860" spans="3:7" ht="14.85" x14ac:dyDescent="0.25">
      <c r="C860" s="3"/>
      <c r="F860" s="3"/>
      <c r="G860" s="3"/>
    </row>
    <row r="861" spans="3:7" ht="14.85" x14ac:dyDescent="0.25">
      <c r="C861" s="3"/>
      <c r="F861" s="3"/>
      <c r="G861" s="3"/>
    </row>
    <row r="862" spans="3:7" ht="14.85" x14ac:dyDescent="0.25">
      <c r="C862" s="3"/>
      <c r="F862" s="3"/>
      <c r="G862" s="3"/>
    </row>
    <row r="863" spans="3:7" ht="14.85" x14ac:dyDescent="0.25">
      <c r="C863" s="3"/>
      <c r="F863" s="3"/>
      <c r="G863" s="3"/>
    </row>
    <row r="864" spans="3:7" ht="14.85" x14ac:dyDescent="0.25">
      <c r="C864" s="3"/>
      <c r="F864" s="3"/>
      <c r="G864" s="3"/>
    </row>
    <row r="865" spans="3:7" ht="14.85" x14ac:dyDescent="0.25">
      <c r="C865" s="3"/>
      <c r="F865" s="3"/>
      <c r="G865" s="3"/>
    </row>
    <row r="866" spans="3:7" ht="14.85" x14ac:dyDescent="0.25">
      <c r="C866" s="3"/>
      <c r="F866" s="3"/>
      <c r="G866" s="3"/>
    </row>
    <row r="867" spans="3:7" ht="14.85" x14ac:dyDescent="0.25">
      <c r="C867" s="3"/>
      <c r="F867" s="3"/>
      <c r="G867" s="3"/>
    </row>
    <row r="868" spans="3:7" ht="14.85" x14ac:dyDescent="0.25">
      <c r="C868" s="3"/>
      <c r="F868" s="3"/>
      <c r="G868" s="3"/>
    </row>
    <row r="869" spans="3:7" ht="14.85" x14ac:dyDescent="0.25">
      <c r="C869" s="3"/>
      <c r="F869" s="3"/>
      <c r="G869" s="3"/>
    </row>
    <row r="870" spans="3:7" ht="14.85" x14ac:dyDescent="0.25">
      <c r="C870" s="3"/>
      <c r="F870" s="3"/>
      <c r="G870" s="3"/>
    </row>
    <row r="871" spans="3:7" ht="14.85" x14ac:dyDescent="0.25">
      <c r="C871" s="3"/>
      <c r="F871" s="3"/>
      <c r="G871" s="3"/>
    </row>
    <row r="872" spans="3:7" ht="14.85" x14ac:dyDescent="0.25">
      <c r="C872" s="3"/>
      <c r="F872" s="3"/>
      <c r="G872" s="3"/>
    </row>
    <row r="873" spans="3:7" ht="14.85" x14ac:dyDescent="0.25">
      <c r="C873" s="3"/>
      <c r="F873" s="3"/>
      <c r="G873" s="3"/>
    </row>
    <row r="874" spans="3:7" ht="14.85" x14ac:dyDescent="0.25">
      <c r="C874" s="3"/>
      <c r="F874" s="3"/>
      <c r="G874" s="3"/>
    </row>
    <row r="875" spans="3:7" ht="14.85" x14ac:dyDescent="0.25">
      <c r="C875" s="3"/>
      <c r="F875" s="3"/>
      <c r="G875" s="3"/>
    </row>
    <row r="876" spans="3:7" ht="14.85" x14ac:dyDescent="0.25">
      <c r="C876" s="3"/>
      <c r="F876" s="3"/>
      <c r="G876" s="3"/>
    </row>
    <row r="877" spans="3:7" ht="14.85" x14ac:dyDescent="0.25">
      <c r="C877" s="3"/>
      <c r="F877" s="3"/>
      <c r="G877" s="3"/>
    </row>
    <row r="878" spans="3:7" ht="14.85" x14ac:dyDescent="0.25">
      <c r="C878" s="3"/>
      <c r="F878" s="3"/>
      <c r="G878" s="3"/>
    </row>
    <row r="879" spans="3:7" ht="14.85" x14ac:dyDescent="0.25">
      <c r="C879" s="3"/>
      <c r="F879" s="3"/>
      <c r="G879" s="3"/>
    </row>
    <row r="880" spans="3:7" ht="14.85" x14ac:dyDescent="0.25">
      <c r="C880" s="3"/>
      <c r="F880" s="3"/>
      <c r="G880" s="3"/>
    </row>
    <row r="881" spans="3:7" ht="14.85" x14ac:dyDescent="0.25">
      <c r="C881" s="3"/>
      <c r="F881" s="3"/>
      <c r="G881" s="3"/>
    </row>
    <row r="882" spans="3:7" ht="14.85" x14ac:dyDescent="0.25">
      <c r="C882" s="3"/>
      <c r="F882" s="3"/>
      <c r="G882" s="3"/>
    </row>
    <row r="883" spans="3:7" ht="14.85" x14ac:dyDescent="0.25">
      <c r="C883" s="3"/>
      <c r="F883" s="3"/>
      <c r="G883" s="3"/>
    </row>
    <row r="884" spans="3:7" ht="14.85" x14ac:dyDescent="0.25">
      <c r="C884" s="3"/>
      <c r="F884" s="3"/>
      <c r="G884" s="3"/>
    </row>
    <row r="885" spans="3:7" ht="14.85" x14ac:dyDescent="0.25">
      <c r="C885" s="3"/>
      <c r="F885" s="3"/>
      <c r="G885" s="3"/>
    </row>
    <row r="886" spans="3:7" ht="14.85" x14ac:dyDescent="0.25">
      <c r="C886" s="3"/>
      <c r="F886" s="3"/>
      <c r="G886" s="3"/>
    </row>
    <row r="887" spans="3:7" ht="14.85" x14ac:dyDescent="0.25">
      <c r="C887" s="3"/>
      <c r="F887" s="3"/>
      <c r="G887" s="3"/>
    </row>
    <row r="888" spans="3:7" ht="14.85" x14ac:dyDescent="0.25">
      <c r="C888" s="3"/>
      <c r="F888" s="3"/>
      <c r="G888" s="3"/>
    </row>
    <row r="889" spans="3:7" ht="14.85" x14ac:dyDescent="0.25">
      <c r="C889" s="3"/>
      <c r="F889" s="3"/>
      <c r="G889" s="3"/>
    </row>
    <row r="890" spans="3:7" ht="14.85" x14ac:dyDescent="0.25">
      <c r="C890" s="3"/>
      <c r="F890" s="3"/>
      <c r="G890" s="3"/>
    </row>
    <row r="891" spans="3:7" ht="14.85" x14ac:dyDescent="0.25">
      <c r="C891" s="3"/>
      <c r="F891" s="3"/>
      <c r="G891" s="3"/>
    </row>
    <row r="892" spans="3:7" ht="14.85" x14ac:dyDescent="0.25">
      <c r="C892" s="3"/>
      <c r="F892" s="3"/>
      <c r="G892" s="3"/>
    </row>
    <row r="893" spans="3:7" ht="14.85" x14ac:dyDescent="0.25">
      <c r="C893" s="3"/>
      <c r="F893" s="3"/>
      <c r="G893" s="3"/>
    </row>
    <row r="894" spans="3:7" ht="14.85" x14ac:dyDescent="0.25">
      <c r="C894" s="3"/>
      <c r="F894" s="3"/>
      <c r="G894" s="3"/>
    </row>
    <row r="895" spans="3:7" ht="14.85" x14ac:dyDescent="0.25">
      <c r="C895" s="3"/>
      <c r="F895" s="3"/>
      <c r="G895" s="3"/>
    </row>
    <row r="896" spans="3:7" ht="14.85" x14ac:dyDescent="0.25">
      <c r="C896" s="3"/>
      <c r="F896" s="3"/>
      <c r="G896" s="3"/>
    </row>
    <row r="897" spans="3:7" ht="14.85" x14ac:dyDescent="0.25">
      <c r="C897" s="3"/>
      <c r="F897" s="3"/>
      <c r="G897" s="3"/>
    </row>
    <row r="898" spans="3:7" ht="14.85" x14ac:dyDescent="0.25">
      <c r="C898" s="3"/>
      <c r="F898" s="3"/>
      <c r="G898" s="3"/>
    </row>
    <row r="899" spans="3:7" ht="14.85" x14ac:dyDescent="0.25">
      <c r="C899" s="3"/>
      <c r="F899" s="3"/>
      <c r="G899" s="3"/>
    </row>
    <row r="900" spans="3:7" ht="14.85" x14ac:dyDescent="0.25">
      <c r="C900" s="3"/>
      <c r="F900" s="3"/>
      <c r="G900" s="3"/>
    </row>
  </sheetData>
  <autoFilter ref="A1:G94" xr:uid="{00000000-0009-0000-0000-000006000000}">
    <filterColumn colId="6">
      <filters blank="1"/>
    </filterColumn>
    <sortState xmlns:xlrd2="http://schemas.microsoft.com/office/spreadsheetml/2017/richdata2" ref="A2:G94">
      <sortCondition descending="1" ref="C1:C94"/>
    </sortState>
  </autoFilter>
  <phoneticPr fontId="2"/>
  <conditionalFormatting sqref="C1:C82">
    <cfRule type="cellIs" dxfId="9" priority="1" operator="equal">
      <formula>"風"</formula>
    </cfRule>
    <cfRule type="cellIs" dxfId="8" priority="2" operator="equal">
      <formula>"林"</formula>
    </cfRule>
    <cfRule type="cellIs" dxfId="7" priority="3" operator="equal">
      <formula>"火"</formula>
    </cfRule>
    <cfRule type="cellIs" dxfId="6" priority="4" operator="equal">
      <formula>"山"</formula>
    </cfRule>
    <cfRule type="cellIs" dxfId="5" priority="5" operator="equal">
      <formula>"無"</formula>
    </cfRule>
  </conditionalFormatting>
  <dataValidations count="3">
    <dataValidation type="list" allowBlank="1" showErrorMessage="1" sqref="G2:G900" xr:uid="{00000000-0002-0000-0600-000000000000}">
      <formula1>"ロングシュート,カウンターシュート,シュートブロック,パンチング,無"</formula1>
    </dataValidation>
    <dataValidation type="list" allowBlank="1" showErrorMessage="1" sqref="C2:C900" xr:uid="{00000000-0002-0000-0600-000001000000}">
      <formula1>"風,林,火,山,無,リアルスキル"</formula1>
    </dataValidation>
    <dataValidation type="list" allowBlank="1" sqref="F2:F900" xr:uid="{00000000-0002-0000-0600-000002000000}">
      <formula1>"特訓ショップ,秘宝堂,クロニクル百貨店,VSストア,スピリット交換所,ボックス"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Z1002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.05" customHeight="1" x14ac:dyDescent="0.25"/>
  <cols>
    <col min="1" max="1" width="11.42578125" customWidth="1"/>
    <col min="2" max="2" width="24.140625" customWidth="1"/>
    <col min="8" max="8" width="25.28515625" customWidth="1"/>
  </cols>
  <sheetData>
    <row r="1" spans="1:26" x14ac:dyDescent="0.25">
      <c r="A1" s="10" t="s">
        <v>0</v>
      </c>
      <c r="B1" s="11" t="s">
        <v>470</v>
      </c>
      <c r="C1" s="12" t="s">
        <v>471</v>
      </c>
      <c r="D1" s="13" t="s">
        <v>472</v>
      </c>
      <c r="E1" s="14" t="s">
        <v>473</v>
      </c>
      <c r="F1" s="15" t="s">
        <v>474</v>
      </c>
      <c r="G1" s="16" t="s">
        <v>475</v>
      </c>
      <c r="H1" s="17" t="s">
        <v>7</v>
      </c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spans="1:26" x14ac:dyDescent="0.25">
      <c r="A2" s="19" t="s">
        <v>476</v>
      </c>
      <c r="B2" s="20" t="s">
        <v>477</v>
      </c>
      <c r="C2" s="20" t="s">
        <v>478</v>
      </c>
      <c r="D2" s="20" t="s">
        <v>479</v>
      </c>
      <c r="E2" s="20" t="s">
        <v>480</v>
      </c>
      <c r="F2" s="20" t="s">
        <v>481</v>
      </c>
      <c r="G2" s="20" t="s">
        <v>482</v>
      </c>
      <c r="H2" s="21"/>
      <c r="I2" s="22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spans="1:26" x14ac:dyDescent="0.25">
      <c r="A3" s="19" t="s">
        <v>476</v>
      </c>
      <c r="B3" s="20" t="s">
        <v>483</v>
      </c>
      <c r="C3" s="20" t="s">
        <v>478</v>
      </c>
      <c r="D3" s="20" t="s">
        <v>479</v>
      </c>
      <c r="E3" s="20" t="s">
        <v>480</v>
      </c>
      <c r="F3" s="20" t="s">
        <v>481</v>
      </c>
      <c r="G3" s="20" t="s">
        <v>482</v>
      </c>
      <c r="H3" s="21"/>
      <c r="J3" s="22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 spans="1:26" x14ac:dyDescent="0.25">
      <c r="A4" s="19" t="s">
        <v>476</v>
      </c>
      <c r="B4" s="20" t="s">
        <v>484</v>
      </c>
      <c r="C4" s="20" t="s">
        <v>478</v>
      </c>
      <c r="D4" s="20" t="s">
        <v>479</v>
      </c>
      <c r="E4" s="20" t="s">
        <v>480</v>
      </c>
      <c r="F4" s="20" t="s">
        <v>481</v>
      </c>
      <c r="G4" s="20" t="s">
        <v>482</v>
      </c>
      <c r="H4" s="21"/>
      <c r="J4" s="22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spans="1:26" x14ac:dyDescent="0.25">
      <c r="A5" s="19" t="s">
        <v>476</v>
      </c>
      <c r="B5" s="20" t="s">
        <v>485</v>
      </c>
      <c r="C5" s="20" t="s">
        <v>486</v>
      </c>
      <c r="D5" s="20" t="s">
        <v>487</v>
      </c>
      <c r="E5" s="20" t="s">
        <v>488</v>
      </c>
      <c r="F5" s="20" t="s">
        <v>489</v>
      </c>
      <c r="G5" s="20" t="s">
        <v>490</v>
      </c>
      <c r="H5" s="21"/>
      <c r="J5" s="22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spans="1:26" x14ac:dyDescent="0.25">
      <c r="A6" s="23" t="s">
        <v>491</v>
      </c>
      <c r="B6" s="24" t="s">
        <v>492</v>
      </c>
      <c r="C6" s="20" t="s">
        <v>493</v>
      </c>
      <c r="D6" s="20" t="s">
        <v>494</v>
      </c>
      <c r="E6" s="20" t="s">
        <v>495</v>
      </c>
      <c r="F6" s="20" t="s">
        <v>496</v>
      </c>
      <c r="G6" s="20" t="s">
        <v>497</v>
      </c>
      <c r="H6" s="21"/>
      <c r="J6" s="22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spans="1:26" x14ac:dyDescent="0.25">
      <c r="A7" s="23" t="s">
        <v>491</v>
      </c>
      <c r="B7" s="20" t="s">
        <v>498</v>
      </c>
      <c r="C7" s="20" t="s">
        <v>499</v>
      </c>
      <c r="D7" s="20" t="s">
        <v>500</v>
      </c>
      <c r="E7" s="20" t="s">
        <v>501</v>
      </c>
      <c r="F7" s="20" t="s">
        <v>502</v>
      </c>
      <c r="G7" s="20" t="s">
        <v>503</v>
      </c>
      <c r="H7" s="21"/>
      <c r="J7" s="22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spans="1:26" x14ac:dyDescent="0.25">
      <c r="A8" s="23" t="s">
        <v>491</v>
      </c>
      <c r="B8" s="20" t="s">
        <v>504</v>
      </c>
      <c r="C8" s="20" t="s">
        <v>497</v>
      </c>
      <c r="D8" s="20" t="s">
        <v>505</v>
      </c>
      <c r="E8" s="20" t="s">
        <v>490</v>
      </c>
      <c r="F8" s="20" t="s">
        <v>506</v>
      </c>
      <c r="G8" s="20" t="s">
        <v>480</v>
      </c>
      <c r="H8" s="21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spans="1:26" x14ac:dyDescent="0.25">
      <c r="A9" s="23" t="s">
        <v>491</v>
      </c>
      <c r="B9" s="20" t="s">
        <v>507</v>
      </c>
      <c r="C9" s="25">
        <v>0.09</v>
      </c>
      <c r="D9" s="25">
        <v>0.08</v>
      </c>
      <c r="E9" s="25">
        <v>7.0000000000000007E-2</v>
      </c>
      <c r="F9" s="25">
        <v>0.06</v>
      </c>
      <c r="G9" s="25">
        <v>0.05</v>
      </c>
      <c r="H9" s="21"/>
      <c r="J9" s="22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spans="1:26" x14ac:dyDescent="0.25">
      <c r="A10" s="26" t="s">
        <v>508</v>
      </c>
      <c r="B10" s="20" t="s">
        <v>509</v>
      </c>
      <c r="C10" s="20" t="s">
        <v>510</v>
      </c>
      <c r="D10" s="20" t="s">
        <v>511</v>
      </c>
      <c r="E10" s="20" t="s">
        <v>512</v>
      </c>
      <c r="F10" s="25">
        <v>0.2</v>
      </c>
      <c r="G10" s="20" t="s">
        <v>513</v>
      </c>
      <c r="H10" s="20" t="s">
        <v>514</v>
      </c>
      <c r="J10" s="22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spans="1:26" x14ac:dyDescent="0.25">
      <c r="A11" s="26" t="s">
        <v>508</v>
      </c>
      <c r="B11" s="20" t="s">
        <v>515</v>
      </c>
      <c r="C11" s="20" t="s">
        <v>516</v>
      </c>
      <c r="D11" s="20" t="s">
        <v>517</v>
      </c>
      <c r="E11" s="20" t="s">
        <v>518</v>
      </c>
      <c r="F11" s="20" t="s">
        <v>519</v>
      </c>
      <c r="G11" s="20" t="s">
        <v>488</v>
      </c>
      <c r="H11" s="21"/>
      <c r="J11" s="22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spans="1:26" x14ac:dyDescent="0.25">
      <c r="A12" s="26" t="s">
        <v>508</v>
      </c>
      <c r="B12" s="24" t="s">
        <v>520</v>
      </c>
      <c r="C12" s="20" t="s">
        <v>521</v>
      </c>
      <c r="D12" s="20" t="s">
        <v>522</v>
      </c>
      <c r="E12" s="20" t="s">
        <v>523</v>
      </c>
      <c r="F12" s="20" t="s">
        <v>524</v>
      </c>
      <c r="G12" s="20" t="s">
        <v>495</v>
      </c>
      <c r="H12" s="21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spans="1:26" x14ac:dyDescent="0.25">
      <c r="A13" s="26" t="s">
        <v>508</v>
      </c>
      <c r="B13" s="20" t="s">
        <v>525</v>
      </c>
      <c r="C13" s="20" t="s">
        <v>482</v>
      </c>
      <c r="D13" s="20" t="s">
        <v>526</v>
      </c>
      <c r="E13" s="20" t="s">
        <v>527</v>
      </c>
      <c r="F13" s="20" t="s">
        <v>528</v>
      </c>
      <c r="G13" s="20" t="s">
        <v>529</v>
      </c>
      <c r="H13" s="21"/>
      <c r="J13" s="22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spans="1:26" x14ac:dyDescent="0.25">
      <c r="A14" s="27" t="s">
        <v>530</v>
      </c>
      <c r="B14" s="24" t="s">
        <v>485</v>
      </c>
      <c r="C14" s="20" t="s">
        <v>531</v>
      </c>
      <c r="D14" s="20" t="s">
        <v>532</v>
      </c>
      <c r="E14" s="20" t="s">
        <v>523</v>
      </c>
      <c r="F14" s="20" t="s">
        <v>533</v>
      </c>
      <c r="G14" s="20" t="s">
        <v>534</v>
      </c>
      <c r="H14" s="21"/>
      <c r="J14" s="22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spans="1:26" x14ac:dyDescent="0.25">
      <c r="A15" s="27" t="s">
        <v>530</v>
      </c>
      <c r="B15" s="20" t="s">
        <v>535</v>
      </c>
      <c r="C15" s="20" t="s">
        <v>497</v>
      </c>
      <c r="D15" s="20" t="s">
        <v>505</v>
      </c>
      <c r="E15" s="20" t="s">
        <v>490</v>
      </c>
      <c r="F15" s="20" t="s">
        <v>536</v>
      </c>
      <c r="G15" s="20" t="s">
        <v>480</v>
      </c>
      <c r="H15" s="21"/>
      <c r="J15" s="22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spans="1:26" x14ac:dyDescent="0.25">
      <c r="A16" s="27" t="s">
        <v>530</v>
      </c>
      <c r="B16" s="20" t="s">
        <v>537</v>
      </c>
      <c r="C16" s="20" t="s">
        <v>482</v>
      </c>
      <c r="D16" s="20" t="s">
        <v>527</v>
      </c>
      <c r="E16" s="20" t="s">
        <v>538</v>
      </c>
      <c r="F16" s="20" t="s">
        <v>539</v>
      </c>
      <c r="G16" s="20" t="s">
        <v>540</v>
      </c>
      <c r="H16" s="21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spans="1:26" x14ac:dyDescent="0.25">
      <c r="A17" s="27" t="s">
        <v>530</v>
      </c>
      <c r="B17" s="20" t="s">
        <v>541</v>
      </c>
      <c r="C17" s="20" t="s">
        <v>486</v>
      </c>
      <c r="D17" s="20" t="s">
        <v>487</v>
      </c>
      <c r="E17" s="20" t="s">
        <v>488</v>
      </c>
      <c r="F17" s="20" t="s">
        <v>489</v>
      </c>
      <c r="G17" s="20" t="s">
        <v>490</v>
      </c>
      <c r="H17" s="21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spans="1:26" x14ac:dyDescent="0.25">
      <c r="A18" s="28" t="s">
        <v>542</v>
      </c>
      <c r="B18" s="20" t="s">
        <v>543</v>
      </c>
      <c r="C18" s="20" t="s">
        <v>500</v>
      </c>
      <c r="D18" s="20" t="s">
        <v>544</v>
      </c>
      <c r="E18" s="20" t="s">
        <v>501</v>
      </c>
      <c r="F18" s="20" t="s">
        <v>545</v>
      </c>
      <c r="G18" s="20" t="s">
        <v>502</v>
      </c>
      <c r="H18" s="21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spans="1:26" x14ac:dyDescent="0.25">
      <c r="A19" s="28" t="s">
        <v>542</v>
      </c>
      <c r="B19" s="20" t="s">
        <v>546</v>
      </c>
      <c r="C19" s="20" t="s">
        <v>547</v>
      </c>
      <c r="D19" s="20" t="s">
        <v>548</v>
      </c>
      <c r="E19" s="20" t="s">
        <v>549</v>
      </c>
      <c r="F19" s="20" t="s">
        <v>521</v>
      </c>
      <c r="G19" s="20" t="s">
        <v>523</v>
      </c>
      <c r="H19" s="21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spans="1:26" x14ac:dyDescent="0.25">
      <c r="A20" s="28" t="s">
        <v>542</v>
      </c>
      <c r="B20" s="20" t="s">
        <v>550</v>
      </c>
      <c r="C20" s="20" t="s">
        <v>482</v>
      </c>
      <c r="D20" s="20" t="s">
        <v>551</v>
      </c>
      <c r="E20" s="20" t="s">
        <v>552</v>
      </c>
      <c r="F20" s="20" t="s">
        <v>553</v>
      </c>
      <c r="G20" s="20" t="s">
        <v>554</v>
      </c>
      <c r="H20" s="21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spans="1:26" x14ac:dyDescent="0.25">
      <c r="A21" s="28" t="s">
        <v>542</v>
      </c>
      <c r="B21" s="20" t="s">
        <v>555</v>
      </c>
      <c r="C21" s="20" t="s">
        <v>556</v>
      </c>
      <c r="D21" s="20" t="s">
        <v>557</v>
      </c>
      <c r="E21" s="20" t="s">
        <v>558</v>
      </c>
      <c r="F21" s="20" t="s">
        <v>553</v>
      </c>
      <c r="G21" s="20" t="s">
        <v>554</v>
      </c>
      <c r="H21" s="20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spans="1:26" x14ac:dyDescent="0.25">
      <c r="A22" s="29" t="s">
        <v>559</v>
      </c>
      <c r="B22" s="20" t="s">
        <v>560</v>
      </c>
      <c r="C22" s="20" t="s">
        <v>561</v>
      </c>
      <c r="D22" s="20" t="s">
        <v>562</v>
      </c>
      <c r="E22" s="20" t="s">
        <v>563</v>
      </c>
      <c r="F22" s="30">
        <v>7.0000000000000001E-3</v>
      </c>
      <c r="G22" s="20" t="s">
        <v>564</v>
      </c>
      <c r="H22" s="20" t="s">
        <v>565</v>
      </c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spans="1:26" x14ac:dyDescent="0.25">
      <c r="A23" s="29" t="s">
        <v>559</v>
      </c>
      <c r="B23" s="20" t="s">
        <v>566</v>
      </c>
      <c r="C23" s="20" t="s">
        <v>567</v>
      </c>
      <c r="D23" s="20" t="s">
        <v>568</v>
      </c>
      <c r="E23" s="20" t="s">
        <v>482</v>
      </c>
      <c r="F23" s="20" t="s">
        <v>527</v>
      </c>
      <c r="G23" s="20" t="s">
        <v>554</v>
      </c>
      <c r="H23" s="21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spans="1:26" x14ac:dyDescent="0.25">
      <c r="A24" s="29" t="s">
        <v>559</v>
      </c>
      <c r="B24" s="20" t="s">
        <v>569</v>
      </c>
      <c r="C24" s="20" t="s">
        <v>570</v>
      </c>
      <c r="D24" s="20" t="s">
        <v>571</v>
      </c>
      <c r="E24" s="20" t="s">
        <v>572</v>
      </c>
      <c r="F24" s="20" t="s">
        <v>573</v>
      </c>
      <c r="G24" s="20" t="s">
        <v>482</v>
      </c>
      <c r="H24" s="21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spans="1:26" x14ac:dyDescent="0.25">
      <c r="A25" s="29" t="s">
        <v>559</v>
      </c>
      <c r="B25" s="24" t="s">
        <v>574</v>
      </c>
      <c r="C25" s="20" t="s">
        <v>570</v>
      </c>
      <c r="D25" s="20" t="s">
        <v>575</v>
      </c>
      <c r="E25" s="20" t="s">
        <v>576</v>
      </c>
      <c r="F25" s="20" t="s">
        <v>577</v>
      </c>
      <c r="G25" s="20" t="s">
        <v>578</v>
      </c>
      <c r="H25" s="21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spans="1:26" x14ac:dyDescent="0.25">
      <c r="A26" s="31" t="s">
        <v>579</v>
      </c>
      <c r="B26" s="20" t="s">
        <v>580</v>
      </c>
      <c r="C26" s="20" t="s">
        <v>500</v>
      </c>
      <c r="D26" s="20" t="s">
        <v>501</v>
      </c>
      <c r="E26" s="20" t="s">
        <v>502</v>
      </c>
      <c r="F26" s="20" t="s">
        <v>503</v>
      </c>
      <c r="G26" s="20" t="s">
        <v>581</v>
      </c>
      <c r="H26" s="20" t="s">
        <v>582</v>
      </c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spans="1:26" x14ac:dyDescent="0.25">
      <c r="A27" s="32" t="s">
        <v>579</v>
      </c>
      <c r="B27" s="33" t="s">
        <v>583</v>
      </c>
      <c r="C27" s="33" t="s">
        <v>549</v>
      </c>
      <c r="D27" s="33" t="s">
        <v>521</v>
      </c>
      <c r="E27" s="33" t="s">
        <v>523</v>
      </c>
      <c r="F27" s="33" t="s">
        <v>495</v>
      </c>
      <c r="G27" s="33" t="s">
        <v>488</v>
      </c>
      <c r="H27" s="34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spans="1:26" x14ac:dyDescent="0.25">
      <c r="A28" s="35" t="s">
        <v>579</v>
      </c>
      <c r="B28" s="36" t="s">
        <v>584</v>
      </c>
      <c r="C28" s="36" t="s">
        <v>585</v>
      </c>
      <c r="D28" s="36" t="s">
        <v>586</v>
      </c>
      <c r="E28" s="36" t="s">
        <v>578</v>
      </c>
      <c r="F28" s="36" t="s">
        <v>587</v>
      </c>
      <c r="G28" s="36" t="s">
        <v>554</v>
      </c>
      <c r="H28" s="37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spans="1:26" x14ac:dyDescent="0.25">
      <c r="A29" s="3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spans="1:26" x14ac:dyDescent="0.25">
      <c r="A30" s="3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spans="1:26" x14ac:dyDescent="0.25">
      <c r="A31" s="3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spans="1:26" x14ac:dyDescent="0.25">
      <c r="A32" s="3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spans="1:26" x14ac:dyDescent="0.25">
      <c r="A33" s="3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spans="1:26" x14ac:dyDescent="0.25">
      <c r="A34" s="3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spans="1:26" x14ac:dyDescent="0.25">
      <c r="A35" s="3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spans="1:26" x14ac:dyDescent="0.25">
      <c r="A36" s="3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spans="1:26" x14ac:dyDescent="0.25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spans="1:26" x14ac:dyDescent="0.25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spans="1:26" x14ac:dyDescent="0.25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spans="1:26" x14ac:dyDescent="0.25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spans="1:26" x14ac:dyDescent="0.25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spans="1:26" x14ac:dyDescent="0.25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spans="1:26" x14ac:dyDescent="0.25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spans="1:26" x14ac:dyDescent="0.25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spans="1:26" x14ac:dyDescent="0.25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spans="1:26" x14ac:dyDescent="0.25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spans="1:26" x14ac:dyDescent="0.25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spans="1:26" x14ac:dyDescent="0.25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spans="1:26" x14ac:dyDescent="0.25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spans="1:26" x14ac:dyDescent="0.25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spans="1:26" x14ac:dyDescent="0.25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spans="1:26" x14ac:dyDescent="0.25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spans="1:26" x14ac:dyDescent="0.25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spans="1:26" x14ac:dyDescent="0.25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spans="1:26" x14ac:dyDescent="0.25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spans="1:26" x14ac:dyDescent="0.25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spans="1:26" x14ac:dyDescent="0.25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spans="1:26" x14ac:dyDescent="0.25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spans="1:26" x14ac:dyDescent="0.25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spans="1:26" x14ac:dyDescent="0.25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spans="1:26" x14ac:dyDescent="0.25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spans="1:26" x14ac:dyDescent="0.25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spans="1:26" x14ac:dyDescent="0.25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spans="1:26" x14ac:dyDescent="0.25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spans="1:26" x14ac:dyDescent="0.25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spans="1:26" x14ac:dyDescent="0.25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spans="1:26" x14ac:dyDescent="0.25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spans="1:26" x14ac:dyDescent="0.25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spans="1:26" x14ac:dyDescent="0.25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spans="1:26" x14ac:dyDescent="0.25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spans="1:26" x14ac:dyDescent="0.25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spans="1:26" x14ac:dyDescent="0.25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spans="1:26" x14ac:dyDescent="0.25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spans="1:26" x14ac:dyDescent="0.25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spans="1:26" x14ac:dyDescent="0.25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spans="1:26" x14ac:dyDescent="0.25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spans="1:26" x14ac:dyDescent="0.25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spans="1:26" x14ac:dyDescent="0.25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spans="1:26" x14ac:dyDescent="0.25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spans="1:26" x14ac:dyDescent="0.25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spans="1:26" x14ac:dyDescent="0.25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spans="1:26" x14ac:dyDescent="0.25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spans="1:26" x14ac:dyDescent="0.25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spans="1:26" x14ac:dyDescent="0.25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spans="1:26" x14ac:dyDescent="0.25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spans="1:26" x14ac:dyDescent="0.25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spans="1:26" x14ac:dyDescent="0.25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spans="1:26" x14ac:dyDescent="0.25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spans="1:26" x14ac:dyDescent="0.25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spans="1:26" x14ac:dyDescent="0.25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spans="1:26" x14ac:dyDescent="0.25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spans="1:26" x14ac:dyDescent="0.25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spans="1:26" x14ac:dyDescent="0.25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spans="1:26" x14ac:dyDescent="0.25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spans="1:26" x14ac:dyDescent="0.25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spans="1:26" x14ac:dyDescent="0.25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spans="1:26" x14ac:dyDescent="0.25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spans="1:26" x14ac:dyDescent="0.25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spans="1:26" x14ac:dyDescent="0.25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spans="1:26" x14ac:dyDescent="0.25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spans="1:26" x14ac:dyDescent="0.25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spans="1:26" x14ac:dyDescent="0.25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spans="1:26" x14ac:dyDescent="0.25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spans="1:26" x14ac:dyDescent="0.25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spans="1:26" x14ac:dyDescent="0.25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spans="1:26" x14ac:dyDescent="0.25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spans="1:26" x14ac:dyDescent="0.25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spans="1:26" x14ac:dyDescent="0.25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spans="1:26" x14ac:dyDescent="0.25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spans="1:26" x14ac:dyDescent="0.25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spans="1:26" x14ac:dyDescent="0.25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spans="1:26" x14ac:dyDescent="0.25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spans="1:26" x14ac:dyDescent="0.25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spans="1:26" x14ac:dyDescent="0.25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spans="1:26" x14ac:dyDescent="0.25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spans="1:26" x14ac:dyDescent="0.25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spans="1:26" x14ac:dyDescent="0.25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spans="1:26" x14ac:dyDescent="0.25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spans="1:26" x14ac:dyDescent="0.25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spans="1:26" x14ac:dyDescent="0.25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spans="1:26" x14ac:dyDescent="0.25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spans="1:26" x14ac:dyDescent="0.25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spans="1:26" x14ac:dyDescent="0.25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spans="1:26" x14ac:dyDescent="0.25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spans="1:26" x14ac:dyDescent="0.25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spans="1:26" x14ac:dyDescent="0.25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spans="1:26" x14ac:dyDescent="0.25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spans="1:26" x14ac:dyDescent="0.25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spans="1:26" x14ac:dyDescent="0.25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spans="1:26" x14ac:dyDescent="0.25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spans="1:26" x14ac:dyDescent="0.25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spans="1:26" x14ac:dyDescent="0.25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spans="1:26" x14ac:dyDescent="0.25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spans="1:26" x14ac:dyDescent="0.25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spans="1:26" x14ac:dyDescent="0.25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spans="1:26" x14ac:dyDescent="0.25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spans="1:26" x14ac:dyDescent="0.25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spans="1:26" x14ac:dyDescent="0.25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spans="1:26" x14ac:dyDescent="0.25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spans="1:26" x14ac:dyDescent="0.25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spans="1:26" x14ac:dyDescent="0.25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spans="1:26" x14ac:dyDescent="0.25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spans="1:26" x14ac:dyDescent="0.25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spans="1:26" x14ac:dyDescent="0.25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spans="1:26" x14ac:dyDescent="0.25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spans="1:26" x14ac:dyDescent="0.25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spans="1:26" x14ac:dyDescent="0.25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spans="1:26" x14ac:dyDescent="0.25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spans="1:26" x14ac:dyDescent="0.25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spans="1:26" x14ac:dyDescent="0.25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spans="1:26" x14ac:dyDescent="0.25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spans="1:26" x14ac:dyDescent="0.25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spans="1:26" x14ac:dyDescent="0.25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spans="1:26" x14ac:dyDescent="0.25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spans="1:26" x14ac:dyDescent="0.25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spans="1:26" x14ac:dyDescent="0.25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spans="1:26" x14ac:dyDescent="0.25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spans="1:26" x14ac:dyDescent="0.25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spans="1:26" x14ac:dyDescent="0.25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spans="1:26" x14ac:dyDescent="0.25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spans="1:26" x14ac:dyDescent="0.25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spans="1:26" x14ac:dyDescent="0.25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spans="1:26" x14ac:dyDescent="0.25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spans="1:26" x14ac:dyDescent="0.25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spans="1:26" x14ac:dyDescent="0.25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spans="1:26" x14ac:dyDescent="0.25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spans="1:26" x14ac:dyDescent="0.25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spans="1:26" x14ac:dyDescent="0.25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spans="1:26" x14ac:dyDescent="0.25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spans="1:26" x14ac:dyDescent="0.25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spans="1:26" x14ac:dyDescent="0.25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spans="1:26" x14ac:dyDescent="0.25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spans="1:26" x14ac:dyDescent="0.25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spans="1:26" x14ac:dyDescent="0.25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spans="1:26" x14ac:dyDescent="0.25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spans="1:26" x14ac:dyDescent="0.25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spans="1:26" x14ac:dyDescent="0.25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spans="1:26" x14ac:dyDescent="0.25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spans="1:26" x14ac:dyDescent="0.25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spans="1:26" x14ac:dyDescent="0.25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spans="1:26" x14ac:dyDescent="0.25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spans="1:26" x14ac:dyDescent="0.25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spans="1:26" x14ac:dyDescent="0.25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spans="1:26" x14ac:dyDescent="0.25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spans="1:26" x14ac:dyDescent="0.25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spans="1:26" x14ac:dyDescent="0.25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spans="1:26" x14ac:dyDescent="0.25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spans="1:26" x14ac:dyDescent="0.25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spans="1:26" x14ac:dyDescent="0.25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spans="1:26" x14ac:dyDescent="0.25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spans="1:26" x14ac:dyDescent="0.25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spans="1:26" x14ac:dyDescent="0.25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spans="1:26" x14ac:dyDescent="0.25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spans="1:26" x14ac:dyDescent="0.25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spans="1:26" x14ac:dyDescent="0.25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spans="1:26" x14ac:dyDescent="0.25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spans="1:26" x14ac:dyDescent="0.25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spans="1:26" x14ac:dyDescent="0.25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spans="1:26" x14ac:dyDescent="0.25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spans="1:26" x14ac:dyDescent="0.25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spans="1:26" x14ac:dyDescent="0.25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spans="1:26" x14ac:dyDescent="0.25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spans="1:26" x14ac:dyDescent="0.25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spans="1:26" x14ac:dyDescent="0.25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spans="1:26" x14ac:dyDescent="0.25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spans="1:26" x14ac:dyDescent="0.25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spans="1:26" x14ac:dyDescent="0.25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spans="1:26" x14ac:dyDescent="0.25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spans="1:26" x14ac:dyDescent="0.25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spans="1:26" x14ac:dyDescent="0.25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spans="1:26" x14ac:dyDescent="0.25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spans="1:26" x14ac:dyDescent="0.25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spans="1:26" x14ac:dyDescent="0.25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spans="1:26" x14ac:dyDescent="0.25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spans="1:26" x14ac:dyDescent="0.25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spans="1:26" x14ac:dyDescent="0.25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spans="1:26" x14ac:dyDescent="0.25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spans="1:26" x14ac:dyDescent="0.25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spans="1:26" x14ac:dyDescent="0.25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spans="1:26" x14ac:dyDescent="0.25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spans="1:26" x14ac:dyDescent="0.25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spans="1:26" x14ac:dyDescent="0.25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spans="1:26" x14ac:dyDescent="0.25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spans="1:26" x14ac:dyDescent="0.25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spans="1:26" x14ac:dyDescent="0.25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 spans="1:26" x14ac:dyDescent="0.25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 spans="1:26" x14ac:dyDescent="0.25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 spans="1:26" x14ac:dyDescent="0.25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 spans="1:26" x14ac:dyDescent="0.25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 spans="1:26" x14ac:dyDescent="0.25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 spans="1:26" x14ac:dyDescent="0.25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 spans="1:26" x14ac:dyDescent="0.25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 spans="1:26" x14ac:dyDescent="0.25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 spans="1:26" x14ac:dyDescent="0.25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 spans="1:26" x14ac:dyDescent="0.25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 spans="1:26" x14ac:dyDescent="0.25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 spans="1:26" x14ac:dyDescent="0.25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 spans="1:26" x14ac:dyDescent="0.25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 spans="1:26" x14ac:dyDescent="0.25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 spans="1:26" x14ac:dyDescent="0.25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 spans="1:26" x14ac:dyDescent="0.25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 spans="1:26" x14ac:dyDescent="0.25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 spans="1:26" x14ac:dyDescent="0.25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 spans="1:26" x14ac:dyDescent="0.25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 spans="1:26" x14ac:dyDescent="0.25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 spans="1:26" x14ac:dyDescent="0.25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 spans="1:26" x14ac:dyDescent="0.25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 spans="1:26" x14ac:dyDescent="0.25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 spans="1:26" x14ac:dyDescent="0.25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 spans="1:26" x14ac:dyDescent="0.25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 spans="1:26" x14ac:dyDescent="0.25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 spans="1:26" x14ac:dyDescent="0.25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 spans="1:26" x14ac:dyDescent="0.25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 spans="1:26" x14ac:dyDescent="0.25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 spans="1:26" x14ac:dyDescent="0.25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 spans="1:26" x14ac:dyDescent="0.25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 spans="1:26" x14ac:dyDescent="0.25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 spans="1:26" x14ac:dyDescent="0.25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 spans="1:26" x14ac:dyDescent="0.25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 spans="1:26" x14ac:dyDescent="0.25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 spans="1:26" x14ac:dyDescent="0.25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 spans="1:26" x14ac:dyDescent="0.25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 spans="1:26" x14ac:dyDescent="0.25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 spans="1:26" x14ac:dyDescent="0.25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 spans="1:26" x14ac:dyDescent="0.25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 spans="1:26" x14ac:dyDescent="0.25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 spans="1:26" x14ac:dyDescent="0.25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 spans="1:26" x14ac:dyDescent="0.25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 spans="1:26" x14ac:dyDescent="0.25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 spans="1:26" x14ac:dyDescent="0.25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 spans="1:26" x14ac:dyDescent="0.25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 spans="1:26" x14ac:dyDescent="0.25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 spans="1:26" x14ac:dyDescent="0.25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 spans="1:26" x14ac:dyDescent="0.25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 spans="1:26" x14ac:dyDescent="0.25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 spans="1:26" x14ac:dyDescent="0.25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 spans="1:26" x14ac:dyDescent="0.25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 spans="1:26" x14ac:dyDescent="0.25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 spans="1:26" x14ac:dyDescent="0.25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 spans="1:26" x14ac:dyDescent="0.25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 spans="1:26" x14ac:dyDescent="0.25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 spans="1:26" x14ac:dyDescent="0.25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 spans="1:26" x14ac:dyDescent="0.25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 spans="1:26" x14ac:dyDescent="0.25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 spans="1:26" x14ac:dyDescent="0.25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 spans="1:26" x14ac:dyDescent="0.25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 spans="1:26" x14ac:dyDescent="0.25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 spans="1:26" x14ac:dyDescent="0.25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 spans="1:26" x14ac:dyDescent="0.25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 spans="1:26" x14ac:dyDescent="0.25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 spans="1:26" x14ac:dyDescent="0.25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 spans="1:26" x14ac:dyDescent="0.25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 spans="1:26" x14ac:dyDescent="0.25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 spans="1:26" x14ac:dyDescent="0.25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 spans="1:26" x14ac:dyDescent="0.25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 spans="1:26" x14ac:dyDescent="0.25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 spans="1:26" x14ac:dyDescent="0.25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 spans="1:26" x14ac:dyDescent="0.25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 spans="1:26" x14ac:dyDescent="0.25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 spans="1:26" x14ac:dyDescent="0.25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 spans="1:26" x14ac:dyDescent="0.25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 spans="1:26" x14ac:dyDescent="0.25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 spans="1:26" x14ac:dyDescent="0.25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 spans="1:26" x14ac:dyDescent="0.25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 spans="1:26" x14ac:dyDescent="0.25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 spans="1:26" x14ac:dyDescent="0.25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 spans="1:26" x14ac:dyDescent="0.25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 spans="1:26" x14ac:dyDescent="0.25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 spans="1:26" x14ac:dyDescent="0.25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 spans="1:26" x14ac:dyDescent="0.25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 spans="1:26" x14ac:dyDescent="0.25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 spans="1:26" x14ac:dyDescent="0.25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 spans="1:26" x14ac:dyDescent="0.25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 spans="1:26" x14ac:dyDescent="0.25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 spans="1:26" x14ac:dyDescent="0.25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 spans="1:26" x14ac:dyDescent="0.25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 spans="1:26" x14ac:dyDescent="0.25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 spans="1:26" x14ac:dyDescent="0.25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 spans="1:26" x14ac:dyDescent="0.25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 spans="1:26" x14ac:dyDescent="0.25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 spans="1:26" x14ac:dyDescent="0.25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 spans="1:26" x14ac:dyDescent="0.25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 spans="1:26" x14ac:dyDescent="0.25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 spans="1:26" x14ac:dyDescent="0.25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 spans="1:26" x14ac:dyDescent="0.25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 spans="1:26" x14ac:dyDescent="0.25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 spans="1:26" x14ac:dyDescent="0.25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 spans="1:26" x14ac:dyDescent="0.25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 spans="1:26" x14ac:dyDescent="0.25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 spans="1:26" x14ac:dyDescent="0.25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 spans="1:26" x14ac:dyDescent="0.25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 spans="1:26" x14ac:dyDescent="0.25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 spans="1:26" x14ac:dyDescent="0.25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 spans="1:26" x14ac:dyDescent="0.25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 spans="1:26" x14ac:dyDescent="0.25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 spans="1:26" x14ac:dyDescent="0.25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 spans="1:26" x14ac:dyDescent="0.25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 spans="1:26" x14ac:dyDescent="0.25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 spans="1:26" x14ac:dyDescent="0.25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 spans="1:26" x14ac:dyDescent="0.25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 spans="1:26" x14ac:dyDescent="0.25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 spans="1:26" x14ac:dyDescent="0.25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 spans="1:26" x14ac:dyDescent="0.25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 spans="1:26" x14ac:dyDescent="0.25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 spans="1:26" x14ac:dyDescent="0.25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 spans="1:26" x14ac:dyDescent="0.25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 spans="1:26" x14ac:dyDescent="0.25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 spans="1:26" x14ac:dyDescent="0.25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 spans="1:26" x14ac:dyDescent="0.25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 spans="1:26" x14ac:dyDescent="0.25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 spans="1:26" x14ac:dyDescent="0.25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 spans="1:26" x14ac:dyDescent="0.25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 spans="1:26" x14ac:dyDescent="0.25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 spans="1:26" x14ac:dyDescent="0.25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 spans="1:26" x14ac:dyDescent="0.25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 spans="1:26" x14ac:dyDescent="0.25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 spans="1:26" x14ac:dyDescent="0.25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 spans="1:26" x14ac:dyDescent="0.25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 spans="1:26" x14ac:dyDescent="0.25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 spans="1:26" x14ac:dyDescent="0.25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 spans="1:26" x14ac:dyDescent="0.25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 spans="1:26" x14ac:dyDescent="0.25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 spans="1:26" x14ac:dyDescent="0.25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 spans="1:26" x14ac:dyDescent="0.25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 spans="1:26" x14ac:dyDescent="0.25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 spans="1:26" x14ac:dyDescent="0.25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 spans="1:26" x14ac:dyDescent="0.25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 spans="1:26" x14ac:dyDescent="0.25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 spans="1:26" x14ac:dyDescent="0.25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 spans="1:26" x14ac:dyDescent="0.25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 spans="1:26" x14ac:dyDescent="0.25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 spans="1:26" x14ac:dyDescent="0.25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 spans="1:26" x14ac:dyDescent="0.25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 spans="1:26" x14ac:dyDescent="0.25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 spans="1:26" x14ac:dyDescent="0.25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 spans="1:26" x14ac:dyDescent="0.25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 spans="1:26" x14ac:dyDescent="0.25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 spans="1:26" x14ac:dyDescent="0.25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 spans="1:26" x14ac:dyDescent="0.25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 spans="1:26" x14ac:dyDescent="0.25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 spans="1:26" x14ac:dyDescent="0.25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 spans="1:26" x14ac:dyDescent="0.25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 spans="1:26" x14ac:dyDescent="0.25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 spans="1:26" x14ac:dyDescent="0.25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 spans="1:26" x14ac:dyDescent="0.25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 spans="1:26" x14ac:dyDescent="0.25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 spans="1:26" x14ac:dyDescent="0.25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 spans="1:26" x14ac:dyDescent="0.25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 spans="1:26" x14ac:dyDescent="0.25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 spans="1:26" x14ac:dyDescent="0.25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 spans="1:26" x14ac:dyDescent="0.25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 spans="1:26" x14ac:dyDescent="0.25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 spans="1:26" x14ac:dyDescent="0.25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 spans="1:26" x14ac:dyDescent="0.25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 spans="1:26" x14ac:dyDescent="0.25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 spans="1:26" x14ac:dyDescent="0.25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 spans="1:26" x14ac:dyDescent="0.25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 spans="1:26" x14ac:dyDescent="0.25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 spans="1:26" x14ac:dyDescent="0.25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 spans="1:26" x14ac:dyDescent="0.25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 spans="1:26" x14ac:dyDescent="0.25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 spans="1:26" x14ac:dyDescent="0.25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 spans="1:26" x14ac:dyDescent="0.25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 spans="1:26" x14ac:dyDescent="0.25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 spans="1:26" x14ac:dyDescent="0.25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 spans="1:26" x14ac:dyDescent="0.25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 spans="1:26" x14ac:dyDescent="0.25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 spans="1:26" x14ac:dyDescent="0.25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 spans="1:26" x14ac:dyDescent="0.25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 spans="1:26" x14ac:dyDescent="0.25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 spans="1:26" x14ac:dyDescent="0.25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 spans="1:26" x14ac:dyDescent="0.25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 spans="1:26" x14ac:dyDescent="0.25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 spans="1:26" x14ac:dyDescent="0.25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 spans="1:26" x14ac:dyDescent="0.25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 spans="1:26" x14ac:dyDescent="0.25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 spans="1:26" x14ac:dyDescent="0.25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 spans="1:26" x14ac:dyDescent="0.25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 spans="1:26" x14ac:dyDescent="0.25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 spans="1:26" x14ac:dyDescent="0.25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 spans="1:26" x14ac:dyDescent="0.25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 spans="1:26" x14ac:dyDescent="0.25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 spans="1:26" x14ac:dyDescent="0.25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 spans="1:26" x14ac:dyDescent="0.25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 spans="1:26" x14ac:dyDescent="0.25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 spans="1:26" x14ac:dyDescent="0.25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 spans="1:26" x14ac:dyDescent="0.25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 spans="1:26" x14ac:dyDescent="0.25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 spans="1:26" x14ac:dyDescent="0.25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 spans="1:26" x14ac:dyDescent="0.25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 spans="1:26" x14ac:dyDescent="0.25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 spans="1:26" x14ac:dyDescent="0.25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 spans="1:26" x14ac:dyDescent="0.25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 spans="1:26" x14ac:dyDescent="0.25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 spans="1:26" x14ac:dyDescent="0.25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 spans="1:26" x14ac:dyDescent="0.25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 spans="1:26" x14ac:dyDescent="0.25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 spans="1:26" x14ac:dyDescent="0.25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 spans="1:26" x14ac:dyDescent="0.25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 spans="1:26" x14ac:dyDescent="0.25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 spans="1:26" x14ac:dyDescent="0.25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 spans="1:26" x14ac:dyDescent="0.25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 spans="1:26" x14ac:dyDescent="0.25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 spans="1:26" x14ac:dyDescent="0.25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 spans="1:26" x14ac:dyDescent="0.25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 spans="1:26" x14ac:dyDescent="0.25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 spans="1:26" x14ac:dyDescent="0.25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 spans="1:26" x14ac:dyDescent="0.25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 spans="1:26" x14ac:dyDescent="0.25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 spans="1:26" x14ac:dyDescent="0.25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 spans="1:26" x14ac:dyDescent="0.25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 spans="1:26" x14ac:dyDescent="0.25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 spans="1:26" x14ac:dyDescent="0.25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 spans="1:26" x14ac:dyDescent="0.25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 spans="1:26" x14ac:dyDescent="0.25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 spans="1:26" x14ac:dyDescent="0.25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 spans="1:26" x14ac:dyDescent="0.25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 spans="1:26" x14ac:dyDescent="0.25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 spans="1:26" x14ac:dyDescent="0.25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 spans="1:26" x14ac:dyDescent="0.25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 spans="1:26" x14ac:dyDescent="0.25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 spans="1:26" x14ac:dyDescent="0.25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 spans="1:26" x14ac:dyDescent="0.25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 spans="1:26" x14ac:dyDescent="0.25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 spans="1:26" x14ac:dyDescent="0.25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 spans="1:26" x14ac:dyDescent="0.25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 spans="1:26" x14ac:dyDescent="0.25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 spans="1:26" x14ac:dyDescent="0.25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 spans="1:26" x14ac:dyDescent="0.25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 spans="1:26" x14ac:dyDescent="0.25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 spans="1:26" x14ac:dyDescent="0.25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 spans="1:26" x14ac:dyDescent="0.25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 spans="1:26" x14ac:dyDescent="0.25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 spans="1:26" x14ac:dyDescent="0.25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 spans="1:26" x14ac:dyDescent="0.25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 spans="1:26" x14ac:dyDescent="0.25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 spans="1:26" x14ac:dyDescent="0.25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 spans="1:26" x14ac:dyDescent="0.25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 spans="1:26" x14ac:dyDescent="0.25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 spans="1:26" x14ac:dyDescent="0.25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 spans="1:26" x14ac:dyDescent="0.25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 spans="1:26" x14ac:dyDescent="0.25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 spans="1:26" x14ac:dyDescent="0.25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 spans="1:26" x14ac:dyDescent="0.25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 spans="1:26" x14ac:dyDescent="0.25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 spans="1:26" x14ac:dyDescent="0.25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 spans="1:26" x14ac:dyDescent="0.25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 spans="1:26" x14ac:dyDescent="0.25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 spans="1:26" x14ac:dyDescent="0.25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 spans="1:26" x14ac:dyDescent="0.25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 spans="1:26" x14ac:dyDescent="0.25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 spans="1:26" x14ac:dyDescent="0.25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 spans="1:26" x14ac:dyDescent="0.25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 spans="1:26" x14ac:dyDescent="0.25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 spans="1:26" x14ac:dyDescent="0.25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 spans="1:26" x14ac:dyDescent="0.25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 spans="1:26" x14ac:dyDescent="0.25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 spans="1:26" x14ac:dyDescent="0.25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 spans="1:26" x14ac:dyDescent="0.25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 spans="1:26" x14ac:dyDescent="0.25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 spans="1:26" x14ac:dyDescent="0.25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 spans="1:26" x14ac:dyDescent="0.25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 spans="1:26" x14ac:dyDescent="0.25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 spans="1:26" x14ac:dyDescent="0.25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 spans="1:26" x14ac:dyDescent="0.25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 spans="1:26" x14ac:dyDescent="0.25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 spans="1:26" x14ac:dyDescent="0.25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 spans="1:26" x14ac:dyDescent="0.25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 spans="1:26" x14ac:dyDescent="0.25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 spans="1:26" x14ac:dyDescent="0.25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 spans="1:26" x14ac:dyDescent="0.25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 spans="1:26" x14ac:dyDescent="0.25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 spans="1:26" x14ac:dyDescent="0.25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 spans="1:26" x14ac:dyDescent="0.25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 spans="1:26" x14ac:dyDescent="0.25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 spans="1:26" x14ac:dyDescent="0.25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 spans="1:26" x14ac:dyDescent="0.25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 spans="1:26" x14ac:dyDescent="0.25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 spans="1:26" x14ac:dyDescent="0.25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 spans="1:26" x14ac:dyDescent="0.25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 spans="1:26" x14ac:dyDescent="0.25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 spans="1:26" x14ac:dyDescent="0.25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 spans="1:26" x14ac:dyDescent="0.25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 spans="1:26" x14ac:dyDescent="0.25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 spans="1:26" x14ac:dyDescent="0.25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 spans="1:26" x14ac:dyDescent="0.25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 spans="1:26" x14ac:dyDescent="0.25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 spans="1:26" x14ac:dyDescent="0.25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 spans="1:26" x14ac:dyDescent="0.25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 spans="1:26" x14ac:dyDescent="0.25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 spans="1:26" x14ac:dyDescent="0.25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 spans="1:26" x14ac:dyDescent="0.25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 spans="1:26" x14ac:dyDescent="0.25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 spans="1:26" x14ac:dyDescent="0.25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 spans="1:26" x14ac:dyDescent="0.25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 spans="1:26" x14ac:dyDescent="0.25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 spans="1:26" x14ac:dyDescent="0.25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 spans="1:26" x14ac:dyDescent="0.25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 spans="1:26" x14ac:dyDescent="0.25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 spans="1:26" x14ac:dyDescent="0.25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 spans="1:26" x14ac:dyDescent="0.25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 spans="1:26" x14ac:dyDescent="0.25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 spans="1:26" x14ac:dyDescent="0.25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 spans="1:26" x14ac:dyDescent="0.25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 spans="1:26" x14ac:dyDescent="0.25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 spans="1:26" x14ac:dyDescent="0.25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 spans="1:26" x14ac:dyDescent="0.25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 spans="1:26" x14ac:dyDescent="0.25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 spans="1:26" x14ac:dyDescent="0.25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 spans="1:26" x14ac:dyDescent="0.25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 spans="1:26" x14ac:dyDescent="0.25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 spans="1:26" x14ac:dyDescent="0.25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 spans="1:26" x14ac:dyDescent="0.25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 spans="1:26" x14ac:dyDescent="0.25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 spans="1:26" x14ac:dyDescent="0.25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 spans="1:26" x14ac:dyDescent="0.25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 spans="1:26" x14ac:dyDescent="0.25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 spans="1:26" x14ac:dyDescent="0.25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 spans="1:26" x14ac:dyDescent="0.25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 spans="1:26" x14ac:dyDescent="0.25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 spans="1:26" x14ac:dyDescent="0.25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 spans="1:26" x14ac:dyDescent="0.25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 spans="1:26" x14ac:dyDescent="0.25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 spans="1:26" x14ac:dyDescent="0.25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 spans="1:26" x14ac:dyDescent="0.25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 spans="1:26" x14ac:dyDescent="0.25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 spans="1:26" x14ac:dyDescent="0.25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 spans="1:26" x14ac:dyDescent="0.25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 spans="1:26" x14ac:dyDescent="0.25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 spans="1:26" x14ac:dyDescent="0.25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 spans="1:26" x14ac:dyDescent="0.25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 spans="1:26" x14ac:dyDescent="0.25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 spans="1:26" x14ac:dyDescent="0.25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 spans="1:26" x14ac:dyDescent="0.25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 spans="1:26" x14ac:dyDescent="0.25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 spans="1:26" x14ac:dyDescent="0.25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 spans="1:26" x14ac:dyDescent="0.25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 spans="1:26" x14ac:dyDescent="0.25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 spans="1:26" x14ac:dyDescent="0.25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 spans="1:26" x14ac:dyDescent="0.25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 spans="1:26" x14ac:dyDescent="0.25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 spans="1:26" x14ac:dyDescent="0.25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 spans="1:26" x14ac:dyDescent="0.25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 spans="1:26" x14ac:dyDescent="0.25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 spans="1:26" x14ac:dyDescent="0.25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 spans="1:26" x14ac:dyDescent="0.25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 spans="1:26" x14ac:dyDescent="0.25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 spans="1:26" x14ac:dyDescent="0.25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 spans="1:26" x14ac:dyDescent="0.25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 spans="1:26" x14ac:dyDescent="0.25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 spans="1:26" x14ac:dyDescent="0.25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 spans="1:26" x14ac:dyDescent="0.25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 spans="1:26" x14ac:dyDescent="0.25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 spans="1:26" x14ac:dyDescent="0.25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 spans="1:26" x14ac:dyDescent="0.25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 spans="1:26" x14ac:dyDescent="0.25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 spans="1:26" x14ac:dyDescent="0.25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 spans="1:26" x14ac:dyDescent="0.25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 spans="1:26" x14ac:dyDescent="0.25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 spans="1:26" x14ac:dyDescent="0.25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 spans="1:26" x14ac:dyDescent="0.25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 spans="1:26" x14ac:dyDescent="0.25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 spans="1:26" x14ac:dyDescent="0.25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 spans="1:26" x14ac:dyDescent="0.25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 spans="1:26" x14ac:dyDescent="0.25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 spans="1:26" x14ac:dyDescent="0.25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 spans="1:26" x14ac:dyDescent="0.25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 spans="1:26" x14ac:dyDescent="0.25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 spans="1:26" x14ac:dyDescent="0.25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 spans="1:26" x14ac:dyDescent="0.25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 spans="1:26" x14ac:dyDescent="0.25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 spans="1:26" x14ac:dyDescent="0.25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 spans="1:26" x14ac:dyDescent="0.25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 spans="1:26" x14ac:dyDescent="0.25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 spans="1:26" x14ac:dyDescent="0.25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 spans="1:26" x14ac:dyDescent="0.25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 spans="1:26" x14ac:dyDescent="0.25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 spans="1:26" x14ac:dyDescent="0.25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 spans="1:26" x14ac:dyDescent="0.25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 spans="1:26" x14ac:dyDescent="0.25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 spans="1:26" x14ac:dyDescent="0.25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 spans="1:26" x14ac:dyDescent="0.25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 spans="1:26" x14ac:dyDescent="0.25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 spans="1:26" x14ac:dyDescent="0.25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 spans="1:26" x14ac:dyDescent="0.25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 spans="1:26" x14ac:dyDescent="0.25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 spans="1:26" x14ac:dyDescent="0.25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 spans="1:26" x14ac:dyDescent="0.25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 spans="1:26" x14ac:dyDescent="0.25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 spans="1:26" x14ac:dyDescent="0.25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 spans="1:26" x14ac:dyDescent="0.25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 spans="1:26" x14ac:dyDescent="0.25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 spans="1:26" x14ac:dyDescent="0.25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 spans="1:26" x14ac:dyDescent="0.25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 spans="1:26" x14ac:dyDescent="0.25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 spans="1:26" x14ac:dyDescent="0.25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 spans="1:26" x14ac:dyDescent="0.25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 spans="1:26" x14ac:dyDescent="0.25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 spans="1:26" x14ac:dyDescent="0.25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 spans="1:26" x14ac:dyDescent="0.25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 spans="1:26" x14ac:dyDescent="0.25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 spans="1:26" x14ac:dyDescent="0.25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 spans="1:26" x14ac:dyDescent="0.25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 spans="1:26" x14ac:dyDescent="0.25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 spans="1:26" x14ac:dyDescent="0.25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 spans="1:26" x14ac:dyDescent="0.25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 spans="1:26" x14ac:dyDescent="0.25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 spans="1:26" x14ac:dyDescent="0.25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 spans="1:26" x14ac:dyDescent="0.25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 spans="1:26" x14ac:dyDescent="0.25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 spans="1:26" x14ac:dyDescent="0.25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 spans="1:26" x14ac:dyDescent="0.25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 spans="1:26" x14ac:dyDescent="0.25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 spans="1:26" x14ac:dyDescent="0.25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 spans="1:26" x14ac:dyDescent="0.25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 spans="1:26" x14ac:dyDescent="0.25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 spans="1:26" x14ac:dyDescent="0.25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 spans="1:26" x14ac:dyDescent="0.25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 spans="1:26" x14ac:dyDescent="0.25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 spans="1:26" x14ac:dyDescent="0.25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 spans="1:26" x14ac:dyDescent="0.25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 spans="1:26" x14ac:dyDescent="0.25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 spans="1:26" x14ac:dyDescent="0.25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 spans="1:26" x14ac:dyDescent="0.25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 spans="1:26" x14ac:dyDescent="0.25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 spans="1:26" x14ac:dyDescent="0.25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 spans="1:26" x14ac:dyDescent="0.25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 spans="1:26" x14ac:dyDescent="0.25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 spans="1:26" x14ac:dyDescent="0.25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 spans="1:26" x14ac:dyDescent="0.25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 spans="1:26" x14ac:dyDescent="0.25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 spans="1:26" x14ac:dyDescent="0.25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 spans="1:26" x14ac:dyDescent="0.25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 spans="1:26" x14ac:dyDescent="0.25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 spans="1:26" x14ac:dyDescent="0.25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 spans="1:26" x14ac:dyDescent="0.25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 spans="1:26" x14ac:dyDescent="0.25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 spans="1:26" x14ac:dyDescent="0.25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 spans="1:26" x14ac:dyDescent="0.25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 spans="1:26" x14ac:dyDescent="0.25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 spans="1:26" x14ac:dyDescent="0.25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 spans="1:26" x14ac:dyDescent="0.25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 spans="1:26" x14ac:dyDescent="0.25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 spans="1:26" x14ac:dyDescent="0.25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 spans="1:26" x14ac:dyDescent="0.25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 spans="1:26" x14ac:dyDescent="0.25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 spans="1:26" x14ac:dyDescent="0.25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 spans="1:26" x14ac:dyDescent="0.25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 spans="1:26" x14ac:dyDescent="0.25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 spans="1:26" x14ac:dyDescent="0.25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 spans="1:26" x14ac:dyDescent="0.25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 spans="1:26" x14ac:dyDescent="0.25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 spans="1:26" x14ac:dyDescent="0.25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 spans="1:26" x14ac:dyDescent="0.25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 spans="1:26" x14ac:dyDescent="0.25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 spans="1:26" x14ac:dyDescent="0.25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 spans="1:26" x14ac:dyDescent="0.25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 spans="1:26" x14ac:dyDescent="0.25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 spans="1:26" x14ac:dyDescent="0.25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 spans="1:26" x14ac:dyDescent="0.25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 spans="1:26" x14ac:dyDescent="0.25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 spans="1:26" x14ac:dyDescent="0.25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 spans="1:26" x14ac:dyDescent="0.25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 spans="1:26" x14ac:dyDescent="0.25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 spans="1:26" x14ac:dyDescent="0.25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 spans="1:26" x14ac:dyDescent="0.25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 spans="1:26" x14ac:dyDescent="0.25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 spans="1:26" x14ac:dyDescent="0.25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 spans="1:26" x14ac:dyDescent="0.25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 spans="1:26" x14ac:dyDescent="0.25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 spans="1:26" x14ac:dyDescent="0.25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 spans="1:26" x14ac:dyDescent="0.25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 spans="1:26" x14ac:dyDescent="0.25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 spans="1:26" x14ac:dyDescent="0.25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 spans="1:26" x14ac:dyDescent="0.25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 spans="1:26" x14ac:dyDescent="0.25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 spans="1:26" x14ac:dyDescent="0.25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 spans="1:26" x14ac:dyDescent="0.25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 spans="1:26" x14ac:dyDescent="0.25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 spans="1:26" x14ac:dyDescent="0.25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 spans="1:26" x14ac:dyDescent="0.25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 spans="1:26" x14ac:dyDescent="0.25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 spans="1:26" x14ac:dyDescent="0.25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 spans="1:26" x14ac:dyDescent="0.25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 spans="1:26" x14ac:dyDescent="0.25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 spans="1:26" x14ac:dyDescent="0.25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 spans="1:26" x14ac:dyDescent="0.25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 spans="1:26" x14ac:dyDescent="0.25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 spans="1:26" x14ac:dyDescent="0.25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 spans="1:26" x14ac:dyDescent="0.25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 spans="1:26" x14ac:dyDescent="0.25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 spans="1:26" x14ac:dyDescent="0.25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 spans="1:26" x14ac:dyDescent="0.25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 spans="1:26" x14ac:dyDescent="0.25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 spans="1:26" x14ac:dyDescent="0.25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 spans="1:26" x14ac:dyDescent="0.25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 spans="1:26" x14ac:dyDescent="0.25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 spans="1:26" x14ac:dyDescent="0.25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 spans="1:26" x14ac:dyDescent="0.25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 spans="1:26" x14ac:dyDescent="0.25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 spans="1:26" x14ac:dyDescent="0.25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 spans="1:26" x14ac:dyDescent="0.25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 spans="1:26" x14ac:dyDescent="0.25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 spans="1:26" x14ac:dyDescent="0.25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 spans="1:26" x14ac:dyDescent="0.25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 spans="1:26" x14ac:dyDescent="0.25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 spans="1:26" x14ac:dyDescent="0.25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 spans="1:26" x14ac:dyDescent="0.25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 spans="1:26" x14ac:dyDescent="0.25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 spans="1:26" x14ac:dyDescent="0.25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 spans="1:26" x14ac:dyDescent="0.25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 spans="1:26" x14ac:dyDescent="0.25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 spans="1:26" x14ac:dyDescent="0.25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 spans="1:26" x14ac:dyDescent="0.25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 spans="1:26" x14ac:dyDescent="0.25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 spans="1:26" x14ac:dyDescent="0.25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 spans="1:26" x14ac:dyDescent="0.25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 spans="1:26" x14ac:dyDescent="0.25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 spans="1:26" x14ac:dyDescent="0.25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 spans="1:26" x14ac:dyDescent="0.25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 spans="1:26" x14ac:dyDescent="0.25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 spans="1:26" x14ac:dyDescent="0.25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 spans="1:26" x14ac:dyDescent="0.25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 spans="1:26" x14ac:dyDescent="0.25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 spans="1:26" x14ac:dyDescent="0.25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 spans="1:26" x14ac:dyDescent="0.25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 spans="1:26" x14ac:dyDescent="0.25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 spans="1:26" x14ac:dyDescent="0.25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 spans="1:26" x14ac:dyDescent="0.25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 spans="1:26" x14ac:dyDescent="0.25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 spans="1:26" x14ac:dyDescent="0.25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 spans="1:26" x14ac:dyDescent="0.25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 spans="1:26" x14ac:dyDescent="0.25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 spans="1:26" x14ac:dyDescent="0.25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 spans="1:26" x14ac:dyDescent="0.25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 spans="1:26" x14ac:dyDescent="0.25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 spans="1:26" x14ac:dyDescent="0.25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 spans="1:26" x14ac:dyDescent="0.25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 spans="1:26" x14ac:dyDescent="0.25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 spans="1:26" x14ac:dyDescent="0.25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 spans="1:26" x14ac:dyDescent="0.25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 spans="1:26" x14ac:dyDescent="0.25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 spans="1:26" x14ac:dyDescent="0.25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 spans="1:26" x14ac:dyDescent="0.25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 spans="1:26" x14ac:dyDescent="0.25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 spans="1:26" x14ac:dyDescent="0.25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 spans="1:26" x14ac:dyDescent="0.25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 spans="1:26" x14ac:dyDescent="0.25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 spans="1:26" x14ac:dyDescent="0.25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 spans="1:26" x14ac:dyDescent="0.25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 spans="1:26" x14ac:dyDescent="0.25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 spans="1:26" x14ac:dyDescent="0.25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 spans="1:26" x14ac:dyDescent="0.25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 spans="1:26" x14ac:dyDescent="0.25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 spans="1:26" x14ac:dyDescent="0.25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 spans="1:26" x14ac:dyDescent="0.25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 spans="1:26" x14ac:dyDescent="0.25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 spans="1:26" x14ac:dyDescent="0.25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 spans="1:26" x14ac:dyDescent="0.25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 spans="1:26" x14ac:dyDescent="0.25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 spans="1:26" x14ac:dyDescent="0.25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 spans="1:26" x14ac:dyDescent="0.25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 spans="1:26" x14ac:dyDescent="0.25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 spans="1:26" x14ac:dyDescent="0.25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 spans="1:26" x14ac:dyDescent="0.25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 spans="1:26" x14ac:dyDescent="0.25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 spans="1:26" x14ac:dyDescent="0.25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 spans="1:26" x14ac:dyDescent="0.25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 spans="1:26" x14ac:dyDescent="0.25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 spans="1:26" x14ac:dyDescent="0.25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 spans="1:26" x14ac:dyDescent="0.25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 spans="1:26" x14ac:dyDescent="0.25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 spans="1:26" x14ac:dyDescent="0.25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 spans="1:26" x14ac:dyDescent="0.25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 spans="1:26" x14ac:dyDescent="0.25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 spans="1:26" x14ac:dyDescent="0.25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 spans="1:26" x14ac:dyDescent="0.25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 spans="1:26" x14ac:dyDescent="0.25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 spans="1:26" x14ac:dyDescent="0.25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 spans="1:26" x14ac:dyDescent="0.25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 spans="1:26" x14ac:dyDescent="0.25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 spans="1:26" x14ac:dyDescent="0.25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 spans="1:26" x14ac:dyDescent="0.25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 spans="1:26" x14ac:dyDescent="0.25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 spans="1:26" x14ac:dyDescent="0.25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 spans="1:26" x14ac:dyDescent="0.25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 spans="1:26" x14ac:dyDescent="0.25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 spans="1:26" x14ac:dyDescent="0.25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 spans="1:26" x14ac:dyDescent="0.25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 spans="1:26" x14ac:dyDescent="0.25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 spans="1:26" x14ac:dyDescent="0.25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 spans="1:26" x14ac:dyDescent="0.25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 spans="1:26" x14ac:dyDescent="0.25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 spans="1:26" x14ac:dyDescent="0.25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 spans="1:26" x14ac:dyDescent="0.25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 spans="1:26" x14ac:dyDescent="0.25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 spans="1:26" x14ac:dyDescent="0.25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 spans="1:26" x14ac:dyDescent="0.25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 spans="1:26" x14ac:dyDescent="0.25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 spans="1:26" x14ac:dyDescent="0.25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 spans="1:26" x14ac:dyDescent="0.25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 spans="1:26" x14ac:dyDescent="0.25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 spans="1:26" x14ac:dyDescent="0.25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 spans="1:26" x14ac:dyDescent="0.25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 spans="1:26" x14ac:dyDescent="0.25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 spans="1:26" x14ac:dyDescent="0.25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 spans="1:26" x14ac:dyDescent="0.25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 spans="1:26" x14ac:dyDescent="0.25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 spans="1:26" x14ac:dyDescent="0.25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 spans="1:26" x14ac:dyDescent="0.25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 spans="1:26" x14ac:dyDescent="0.25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 spans="1:26" x14ac:dyDescent="0.25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 spans="1:26" x14ac:dyDescent="0.25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 spans="1:26" x14ac:dyDescent="0.25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 spans="1:26" x14ac:dyDescent="0.25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 spans="1:26" x14ac:dyDescent="0.25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 spans="1:26" x14ac:dyDescent="0.25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 spans="1:26" x14ac:dyDescent="0.25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 spans="1:26" x14ac:dyDescent="0.25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 spans="1:26" x14ac:dyDescent="0.25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 spans="1:26" x14ac:dyDescent="0.25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 spans="1:26" x14ac:dyDescent="0.25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 spans="1:26" x14ac:dyDescent="0.25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 spans="1:26" x14ac:dyDescent="0.25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 spans="1:26" x14ac:dyDescent="0.25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 spans="1:26" x14ac:dyDescent="0.25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 spans="1:26" x14ac:dyDescent="0.25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 spans="1:26" x14ac:dyDescent="0.25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 spans="1:26" x14ac:dyDescent="0.25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 spans="1:26" x14ac:dyDescent="0.25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 spans="1:26" x14ac:dyDescent="0.25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 spans="1:26" x14ac:dyDescent="0.25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 spans="1:26" x14ac:dyDescent="0.25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 spans="1:26" x14ac:dyDescent="0.25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 spans="1:26" x14ac:dyDescent="0.25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 spans="1:26" x14ac:dyDescent="0.25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 spans="1:26" x14ac:dyDescent="0.25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 spans="1:26" x14ac:dyDescent="0.25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 spans="1:26" x14ac:dyDescent="0.25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 spans="1:26" x14ac:dyDescent="0.25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 spans="1:26" x14ac:dyDescent="0.25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 spans="1:26" x14ac:dyDescent="0.25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 spans="1:26" x14ac:dyDescent="0.25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 spans="1:26" x14ac:dyDescent="0.25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 spans="1:26" x14ac:dyDescent="0.25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 spans="1:26" x14ac:dyDescent="0.25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 spans="1:26" x14ac:dyDescent="0.25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 spans="1:26" x14ac:dyDescent="0.25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 spans="1:26" x14ac:dyDescent="0.25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 spans="1:26" x14ac:dyDescent="0.25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 spans="1:26" x14ac:dyDescent="0.25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 spans="1:26" x14ac:dyDescent="0.25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 spans="1:26" x14ac:dyDescent="0.25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 spans="1:26" x14ac:dyDescent="0.25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 spans="1:26" x14ac:dyDescent="0.25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 spans="1:26" x14ac:dyDescent="0.25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 spans="1:26" x14ac:dyDescent="0.25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 spans="1:26" x14ac:dyDescent="0.25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 spans="1:26" x14ac:dyDescent="0.25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 spans="1:26" x14ac:dyDescent="0.25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 spans="1:26" x14ac:dyDescent="0.25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 spans="1:26" x14ac:dyDescent="0.25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 spans="1:26" x14ac:dyDescent="0.25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 spans="1:26" x14ac:dyDescent="0.25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 spans="1:26" x14ac:dyDescent="0.25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 spans="1:26" x14ac:dyDescent="0.25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 spans="1:26" x14ac:dyDescent="0.25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 spans="1:26" x14ac:dyDescent="0.25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 spans="1:26" x14ac:dyDescent="0.25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 spans="1:26" x14ac:dyDescent="0.25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 spans="1:26" x14ac:dyDescent="0.25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 spans="1:26" x14ac:dyDescent="0.25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 spans="1:26" x14ac:dyDescent="0.25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 spans="1:26" x14ac:dyDescent="0.25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 spans="1:26" x14ac:dyDescent="0.25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 spans="1:26" x14ac:dyDescent="0.25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 spans="1:26" x14ac:dyDescent="0.25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 spans="1:26" x14ac:dyDescent="0.25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 spans="1:26" x14ac:dyDescent="0.25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 spans="1:26" x14ac:dyDescent="0.25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 spans="1:26" x14ac:dyDescent="0.25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 spans="1:26" x14ac:dyDescent="0.25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 spans="1:26" x14ac:dyDescent="0.25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 spans="1:26" x14ac:dyDescent="0.25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 spans="1:26" x14ac:dyDescent="0.25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 spans="1:26" x14ac:dyDescent="0.25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 spans="1:26" x14ac:dyDescent="0.25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 spans="1:26" x14ac:dyDescent="0.25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 spans="1:26" x14ac:dyDescent="0.25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 spans="1:26" x14ac:dyDescent="0.25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 spans="1:26" x14ac:dyDescent="0.25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 spans="1:26" x14ac:dyDescent="0.25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 spans="1:26" x14ac:dyDescent="0.25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 spans="1:26" x14ac:dyDescent="0.25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 spans="1:26" x14ac:dyDescent="0.25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 spans="1:26" x14ac:dyDescent="0.25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 spans="1:26" x14ac:dyDescent="0.25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 spans="1:26" x14ac:dyDescent="0.25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 spans="1:26" x14ac:dyDescent="0.25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 spans="1:26" x14ac:dyDescent="0.25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 spans="1:26" x14ac:dyDescent="0.25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 spans="1:26" x14ac:dyDescent="0.25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 spans="1:26" x14ac:dyDescent="0.25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 spans="1:26" x14ac:dyDescent="0.25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 spans="1:26" x14ac:dyDescent="0.25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 spans="1:26" x14ac:dyDescent="0.25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 spans="1:26" x14ac:dyDescent="0.25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 spans="1:26" x14ac:dyDescent="0.25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 spans="1:26" x14ac:dyDescent="0.25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 spans="1:26" x14ac:dyDescent="0.25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 spans="1:26" x14ac:dyDescent="0.25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 spans="1:26" x14ac:dyDescent="0.25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 spans="1:26" x14ac:dyDescent="0.25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 spans="1:26" x14ac:dyDescent="0.25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 spans="1:26" x14ac:dyDescent="0.25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 spans="1:26" x14ac:dyDescent="0.25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 spans="1:26" x14ac:dyDescent="0.25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 spans="1:26" x14ac:dyDescent="0.25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 spans="1:26" x14ac:dyDescent="0.25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 spans="1:26" x14ac:dyDescent="0.25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 spans="1:26" x14ac:dyDescent="0.25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 spans="1:26" x14ac:dyDescent="0.25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 spans="1:26" x14ac:dyDescent="0.25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 spans="1:26" x14ac:dyDescent="0.25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 spans="1:26" x14ac:dyDescent="0.25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 spans="1:26" x14ac:dyDescent="0.25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 spans="1:26" x14ac:dyDescent="0.25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 spans="1:26" x14ac:dyDescent="0.25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 spans="1:26" x14ac:dyDescent="0.25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 spans="1:26" x14ac:dyDescent="0.25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 spans="1:26" x14ac:dyDescent="0.25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 spans="1:26" x14ac:dyDescent="0.25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 spans="1:26" x14ac:dyDescent="0.25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 spans="1:26" x14ac:dyDescent="0.25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 spans="1:26" x14ac:dyDescent="0.25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 spans="1:26" x14ac:dyDescent="0.25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 spans="1:26" x14ac:dyDescent="0.25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 spans="1:26" x14ac:dyDescent="0.25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 spans="1:26" x14ac:dyDescent="0.25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 spans="1:26" x14ac:dyDescent="0.25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 spans="1:26" x14ac:dyDescent="0.25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 spans="1:26" x14ac:dyDescent="0.25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 spans="1:26" x14ac:dyDescent="0.25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 spans="1:26" x14ac:dyDescent="0.25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 spans="1:26" x14ac:dyDescent="0.25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 spans="1:26" x14ac:dyDescent="0.25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 spans="1:26" x14ac:dyDescent="0.25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 spans="1:26" x14ac:dyDescent="0.25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 spans="1:26" x14ac:dyDescent="0.25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 spans="1:26" x14ac:dyDescent="0.25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 spans="1:26" x14ac:dyDescent="0.25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 spans="1:26" x14ac:dyDescent="0.25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 spans="1:26" x14ac:dyDescent="0.25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 spans="1:26" x14ac:dyDescent="0.25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 spans="1:26" x14ac:dyDescent="0.25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 spans="1:26" x14ac:dyDescent="0.25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 spans="1:26" x14ac:dyDescent="0.25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 spans="1:26" x14ac:dyDescent="0.25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 spans="1:26" x14ac:dyDescent="0.25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  <row r="1000" spans="1:26" x14ac:dyDescent="0.25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</row>
    <row r="1001" spans="1:26" x14ac:dyDescent="0.25">
      <c r="A1001" s="18"/>
      <c r="B1001" s="18"/>
      <c r="C1001" s="18"/>
      <c r="D1001" s="18"/>
      <c r="E1001" s="18"/>
      <c r="F1001" s="18"/>
      <c r="G1001" s="18"/>
      <c r="H1001" s="18"/>
      <c r="I1001" s="18"/>
      <c r="J1001" s="18"/>
      <c r="K1001" s="18"/>
      <c r="L1001" s="18"/>
      <c r="M1001" s="18"/>
      <c r="N1001" s="18"/>
      <c r="O1001" s="18"/>
      <c r="P1001" s="18"/>
      <c r="Q1001" s="18"/>
      <c r="R1001" s="18"/>
      <c r="S1001" s="18"/>
      <c r="T1001" s="18"/>
      <c r="U1001" s="18"/>
      <c r="V1001" s="18"/>
      <c r="W1001" s="18"/>
      <c r="X1001" s="18"/>
      <c r="Y1001" s="18"/>
      <c r="Z1001" s="18"/>
    </row>
    <row r="1002" spans="1:26" x14ac:dyDescent="0.25">
      <c r="A1002" s="18"/>
      <c r="B1002" s="18"/>
      <c r="C1002" s="18"/>
      <c r="D1002" s="18"/>
      <c r="E1002" s="18"/>
      <c r="F1002" s="18"/>
      <c r="G1002" s="18"/>
      <c r="H1002" s="18"/>
      <c r="I1002" s="18"/>
      <c r="J1002" s="18"/>
      <c r="K1002" s="18"/>
      <c r="L1002" s="18"/>
      <c r="M1002" s="18"/>
      <c r="N1002" s="18"/>
      <c r="O1002" s="18"/>
      <c r="P1002" s="18"/>
      <c r="Q1002" s="18"/>
      <c r="R1002" s="18"/>
      <c r="S1002" s="18"/>
      <c r="T1002" s="18"/>
      <c r="U1002" s="18"/>
      <c r="V1002" s="18"/>
      <c r="W1002" s="18"/>
      <c r="X1002" s="18"/>
      <c r="Y1002" s="18"/>
      <c r="Z1002" s="18"/>
    </row>
  </sheetData>
  <phoneticPr fontId="2"/>
  <conditionalFormatting sqref="C1">
    <cfRule type="cellIs" dxfId="4" priority="1" operator="equal">
      <formula>"風"</formula>
    </cfRule>
    <cfRule type="cellIs" dxfId="3" priority="2" operator="equal">
      <formula>"林"</formula>
    </cfRule>
    <cfRule type="cellIs" dxfId="2" priority="3" operator="equal">
      <formula>"火"</formula>
    </cfRule>
    <cfRule type="cellIs" dxfId="1" priority="4" operator="equal">
      <formula>"山"</formula>
    </cfRule>
    <cfRule type="cellIs" dxfId="0" priority="5" operator="equal">
      <formula>"無"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449F3-60C0-47E5-BD8E-9BF2820F8787}">
  <dimension ref="A1"/>
  <sheetViews>
    <sheetView topLeftCell="B4" zoomScale="110" zoomScaleNormal="110" workbookViewId="0">
      <selection activeCell="K6" sqref="K6"/>
    </sheetView>
  </sheetViews>
  <sheetFormatPr defaultRowHeight="14.85" x14ac:dyDescent="0.25"/>
  <cols>
    <col min="1" max="16384" width="9.140625" style="39"/>
  </cols>
  <sheetData/>
  <phoneticPr fontId="2"/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必殺技一覧</vt:lpstr>
      <vt:lpstr>オフェンス</vt:lpstr>
      <vt:lpstr>シュート</vt:lpstr>
      <vt:lpstr>ディフェンス</vt:lpstr>
      <vt:lpstr>キーパー</vt:lpstr>
      <vt:lpstr>パッシブ</vt:lpstr>
      <vt:lpstr>パッシブ2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meiwa</dc:creator>
  <cp:lastModifiedBy>T F</cp:lastModifiedBy>
  <dcterms:modified xsi:type="dcterms:W3CDTF">2025-12-03T02:59:24Z</dcterms:modified>
</cp:coreProperties>
</file>