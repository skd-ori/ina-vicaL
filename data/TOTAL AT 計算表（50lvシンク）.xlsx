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eiwa\Downloads\"/>
    </mc:Choice>
  </mc:AlternateContent>
  <xr:revisionPtr revIDLastSave="0" documentId="13_ncr:1_{34C99005-3F6D-469D-9574-5014FD54D5DD}" xr6:coauthVersionLast="47" xr6:coauthVersionMax="47" xr10:uidLastSave="{00000000-0000-0000-0000-000000000000}"/>
  <bookViews>
    <workbookView minimized="1" xWindow="7289" yWindow="1336" windowWidth="20591" windowHeight="13480" activeTab="2" xr2:uid="{00000000-000D-0000-FFFF-FFFF00000000}"/>
  </bookViews>
  <sheets>
    <sheet name="計算表" sheetId="1" r:id="rId1"/>
    <sheet name="計算表 のコピー" sheetId="2" r:id="rId2"/>
    <sheet name="計算表 のコピー のコピー" sheetId="3" r:id="rId3"/>
    <sheet name="使い方" sheetId="5" r:id="rId4"/>
  </sheets>
  <calcPr calcId="191029"/>
</workbook>
</file>

<file path=xl/calcChain.xml><?xml version="1.0" encoding="utf-8"?>
<calcChain xmlns="http://schemas.openxmlformats.org/spreadsheetml/2006/main">
  <c r="U7" i="3" l="1"/>
  <c r="R14" i="3"/>
  <c r="S14" i="3" s="1"/>
  <c r="Q14" i="3"/>
  <c r="P14" i="3"/>
  <c r="N12" i="3" s="1"/>
  <c r="T14" i="3" s="1"/>
  <c r="O14" i="3"/>
  <c r="N14" i="3"/>
  <c r="D5" i="3"/>
  <c r="A5" i="3"/>
  <c r="R14" i="2"/>
  <c r="S14" i="2" s="1"/>
  <c r="Q14" i="2"/>
  <c r="P14" i="2"/>
  <c r="N12" i="2" s="1"/>
  <c r="O14" i="2"/>
  <c r="N14" i="2"/>
  <c r="D5" i="2"/>
  <c r="A5" i="2"/>
  <c r="H6" i="1"/>
  <c r="F6" i="1"/>
  <c r="D6" i="1"/>
  <c r="B6" i="1"/>
  <c r="T14" i="2" l="1"/>
  <c r="Q12" i="3"/>
  <c r="T12" i="3" s="1"/>
  <c r="S7" i="3"/>
  <c r="Q12" i="2"/>
  <c r="T12" i="2" s="1"/>
</calcChain>
</file>

<file path=xl/sharedStrings.xml><?xml version="1.0" encoding="utf-8"?>
<sst xmlns="http://schemas.openxmlformats.org/spreadsheetml/2006/main" count="200" uniqueCount="72">
  <si>
    <r>
      <rPr>
        <b/>
        <sz val="16"/>
        <color theme="1"/>
        <rFont val="Arial"/>
        <family val="2"/>
      </rPr>
      <t>TOTAL AT 計算表</t>
    </r>
    <r>
      <rPr>
        <b/>
        <sz val="13"/>
        <color theme="1"/>
        <rFont val="Arial"/>
        <family val="2"/>
      </rPr>
      <t>（50lvシンク）</t>
    </r>
  </si>
  <si>
    <t>※ ±10程度の誤差が生じる可能性があります</t>
  </si>
  <si>
    <t>計算結果</t>
  </si>
  <si>
    <t>キズナパワー</t>
  </si>
  <si>
    <t>TOTAL AT</t>
  </si>
  <si>
    <t>シュートAT</t>
  </si>
  <si>
    <t>技威力</t>
  </si>
  <si>
    <t>パッシブ合計</t>
  </si>
  <si>
    <t>(%)</t>
  </si>
  <si>
    <r>
      <rPr>
        <b/>
        <sz val="8"/>
        <color theme="1"/>
        <rFont val="Arial"/>
        <family val="2"/>
      </rPr>
      <t xml:space="preserve">ステータス
</t>
    </r>
    <r>
      <rPr>
        <b/>
        <sz val="6"/>
        <color theme="1"/>
        <rFont val="Arial"/>
        <family val="2"/>
      </rPr>
      <t>（装備・特訓ビーンズ込み）</t>
    </r>
  </si>
  <si>
    <t>技</t>
  </si>
  <si>
    <t>キック</t>
  </si>
  <si>
    <t>コントロール</t>
  </si>
  <si>
    <t>技レベル</t>
  </si>
  <si>
    <t>1（無強化）</t>
  </si>
  <si>
    <t>パッシブ（ビルド）</t>
  </si>
  <si>
    <t>正義</t>
  </si>
  <si>
    <t>カウンター</t>
  </si>
  <si>
    <t>テンション</t>
  </si>
  <si>
    <t>キズナ</t>
  </si>
  <si>
    <t>ファウルを取られるまで
チームのATDF</t>
  </si>
  <si>
    <t>キャッチ以外でボール奪取後
15秒間チームのシュートAT</t>
  </si>
  <si>
    <t>テンション100%時
チームのシュートAT</t>
  </si>
  <si>
    <t>キズナパワー20%以上の時
チームのダイレクト時のAT</t>
  </si>
  <si>
    <t>パッシブ（チームバフ）</t>
  </si>
  <si>
    <t>同属性のシュートAT</t>
  </si>
  <si>
    <t>異属性のシュートAT</t>
  </si>
  <si>
    <t>同ポジションのシュートAT</t>
  </si>
  <si>
    <t>周囲のシュートAT</t>
  </si>
  <si>
    <t>前半戦 チームのAT</t>
  </si>
  <si>
    <t>後半戦 チームのAT</t>
  </si>
  <si>
    <t>パッシブ（自身）</t>
  </si>
  <si>
    <t>敵陣での自身のシュートAT</t>
  </si>
  <si>
    <t>周囲に同属性がいる時
自身のシュートAT</t>
  </si>
  <si>
    <t>周囲に異属性がいる時
自身のシュートAT</t>
  </si>
  <si>
    <t>※ 不具合の報告・質問などはTKG😍🥰😘までお願いします</t>
  </si>
  <si>
    <t>SHOOTER：FW①型 - 最高族（BASARA）</t>
  </si>
  <si>
    <t>KEEPER：円堂（BASARA）</t>
  </si>
  <si>
    <r>
      <rPr>
        <b/>
        <sz val="8"/>
        <color theme="1"/>
        <rFont val="Arial"/>
        <family val="2"/>
      </rPr>
      <t xml:space="preserve">ステータス
</t>
    </r>
    <r>
      <rPr>
        <b/>
        <sz val="6"/>
        <color theme="1"/>
        <rFont val="Arial"/>
        <family val="2"/>
      </rPr>
      <t>（装備・特訓ビーンズ込み）</t>
    </r>
  </si>
  <si>
    <r>
      <rPr>
        <b/>
        <sz val="9"/>
        <color theme="1"/>
        <rFont val="Arial"/>
        <family val="2"/>
      </rPr>
      <t xml:space="preserve">パッシブ以外
</t>
    </r>
    <r>
      <rPr>
        <b/>
        <sz val="6"/>
        <color theme="1"/>
        <rFont val="Arial"/>
        <family val="2"/>
      </rPr>
      <t xml:space="preserve">
キズナパワー
超次元技 など</t>
    </r>
  </si>
  <si>
    <r>
      <rPr>
        <b/>
        <sz val="8"/>
        <color theme="1"/>
        <rFont val="Arial"/>
        <family val="2"/>
      </rPr>
      <t xml:space="preserve">ステータス
</t>
    </r>
    <r>
      <rPr>
        <b/>
        <sz val="6"/>
        <color theme="1"/>
        <rFont val="Arial"/>
        <family val="2"/>
      </rPr>
      <t>（装備・特訓ビーンズ込み）</t>
    </r>
  </si>
  <si>
    <t>プレッシャー</t>
  </si>
  <si>
    <t>フィジカル</t>
  </si>
  <si>
    <t>アジリティ</t>
  </si>
  <si>
    <t>3（V3・真・G3）</t>
  </si>
  <si>
    <t>パッシブ</t>
  </si>
  <si>
    <t>キーパー根性</t>
  </si>
  <si>
    <t>技属性有利</t>
  </si>
  <si>
    <r>
      <rPr>
        <b/>
        <sz val="9"/>
        <color theme="1"/>
        <rFont val="Arial"/>
        <family val="2"/>
      </rPr>
      <t>KP</t>
    </r>
    <r>
      <rPr>
        <b/>
        <sz val="6"/>
        <color theme="1"/>
        <rFont val="Arial"/>
        <family val="2"/>
      </rPr>
      <t>（タクティクス）</t>
    </r>
  </si>
  <si>
    <r>
      <rPr>
        <b/>
        <sz val="9"/>
        <color theme="1"/>
        <rFont val="Arial"/>
        <family val="2"/>
      </rPr>
      <t>DF</t>
    </r>
    <r>
      <rPr>
        <b/>
        <sz val="6"/>
        <color theme="1"/>
        <rFont val="Arial"/>
        <family val="2"/>
      </rPr>
      <t>（タクティクス）</t>
    </r>
  </si>
  <si>
    <t>TOTAL KP</t>
  </si>
  <si>
    <t>確定発数</t>
  </si>
  <si>
    <t>KP</t>
  </si>
  <si>
    <t>TOTAL DF</t>
  </si>
  <si>
    <r>
      <rPr>
        <b/>
        <sz val="10"/>
        <color theme="1"/>
        <rFont val="Arial"/>
        <family val="2"/>
      </rPr>
      <t xml:space="preserve">確定発数
</t>
    </r>
    <r>
      <rPr>
        <b/>
        <sz val="6"/>
        <color theme="1"/>
        <rFont val="Arial"/>
        <family val="2"/>
      </rPr>
      <t>（キーパー技なし）</t>
    </r>
  </si>
  <si>
    <t>属性有利</t>
  </si>
  <si>
    <t>SHOOTER：FW①型 - 最高族（レジェンダリー）</t>
  </si>
  <si>
    <r>
      <rPr>
        <b/>
        <sz val="8"/>
        <color theme="1"/>
        <rFont val="Arial"/>
        <family val="2"/>
      </rPr>
      <t xml:space="preserve">ステータス
</t>
    </r>
    <r>
      <rPr>
        <b/>
        <sz val="6"/>
        <color theme="1"/>
        <rFont val="Arial"/>
        <family val="2"/>
      </rPr>
      <t>（装備・特訓ビーンズ込み）</t>
    </r>
  </si>
  <si>
    <r>
      <rPr>
        <b/>
        <sz val="9"/>
        <color theme="1"/>
        <rFont val="Arial"/>
        <family val="2"/>
      </rPr>
      <t xml:space="preserve">パッシブ以外
</t>
    </r>
    <r>
      <rPr>
        <b/>
        <sz val="6"/>
        <color theme="1"/>
        <rFont val="Arial"/>
        <family val="2"/>
      </rPr>
      <t xml:space="preserve">
キズナパワー
超次元技 など</t>
    </r>
  </si>
  <si>
    <r>
      <rPr>
        <b/>
        <sz val="8"/>
        <color theme="1"/>
        <rFont val="Arial"/>
        <family val="2"/>
      </rPr>
      <t xml:space="preserve">ステータス
</t>
    </r>
    <r>
      <rPr>
        <b/>
        <sz val="6"/>
        <color theme="1"/>
        <rFont val="Arial"/>
        <family val="2"/>
      </rPr>
      <t>（装備・特訓ビーンズ込み）</t>
    </r>
  </si>
  <si>
    <r>
      <rPr>
        <b/>
        <sz val="10"/>
        <color theme="1"/>
        <rFont val="Arial"/>
        <family val="2"/>
      </rPr>
      <t>KP</t>
    </r>
    <r>
      <rPr>
        <b/>
        <sz val="6"/>
        <color theme="1"/>
        <rFont val="Arial"/>
        <family val="2"/>
      </rPr>
      <t>（技なし）</t>
    </r>
  </si>
  <si>
    <r>
      <rPr>
        <b/>
        <sz val="9"/>
        <color theme="1"/>
        <rFont val="Arial"/>
        <family val="2"/>
      </rPr>
      <t>KP</t>
    </r>
    <r>
      <rPr>
        <b/>
        <sz val="6"/>
        <color theme="1"/>
        <rFont val="Arial"/>
        <family val="2"/>
      </rPr>
      <t>（タクティクス）</t>
    </r>
  </si>
  <si>
    <r>
      <rPr>
        <b/>
        <sz val="9"/>
        <color theme="1"/>
        <rFont val="Arial"/>
        <family val="2"/>
      </rPr>
      <t>DF</t>
    </r>
    <r>
      <rPr>
        <b/>
        <sz val="6"/>
        <color theme="1"/>
        <rFont val="Arial"/>
        <family val="2"/>
      </rPr>
      <t>（タクティクス）</t>
    </r>
  </si>
  <si>
    <r>
      <rPr>
        <b/>
        <sz val="10"/>
        <color theme="1"/>
        <rFont val="Arial"/>
        <family val="2"/>
      </rPr>
      <t xml:space="preserve">確定発数
</t>
    </r>
    <r>
      <rPr>
        <b/>
        <sz val="6"/>
        <color theme="1"/>
        <rFont val="Arial"/>
        <family val="2"/>
      </rPr>
      <t>（キーパー技なし）</t>
    </r>
  </si>
  <si>
    <t>使い方</t>
  </si>
  <si>
    <t>① 対象キャラクターのキック・コントロールの値を入力する</t>
  </si>
  <si>
    <t>② 対象の技の威力・レベルを選択する</t>
  </si>
  <si>
    <t>③ チームパラメーターの画面を確認しながら、パッシブ（ビルド）・パッシブ（チームバフ）を入力する</t>
  </si>
  <si>
    <t>④ 対象キャラクターの単体バフを入力する</t>
  </si>
  <si>
    <r>
      <rPr>
        <b/>
        <sz val="11"/>
        <color rgb="FFE06666"/>
        <rFont val="Arial"/>
        <family val="2"/>
      </rPr>
      <t>赤枠</t>
    </r>
    <r>
      <rPr>
        <sz val="11"/>
        <color theme="1"/>
        <rFont val="Arial"/>
        <family val="2"/>
      </rPr>
      <t>：計算結果</t>
    </r>
  </si>
  <si>
    <r>
      <rPr>
        <b/>
        <sz val="11"/>
        <color rgb="FFF1C232"/>
        <rFont val="Arial"/>
        <family val="2"/>
      </rPr>
      <t>黄枠</t>
    </r>
    <r>
      <rPr>
        <sz val="11"/>
        <color theme="1"/>
        <rFont val="Arial"/>
        <family val="2"/>
      </rPr>
      <t>：入力欄</t>
    </r>
  </si>
  <si>
    <r>
      <rPr>
        <sz val="10"/>
        <color rgb="FF666666"/>
        <rFont val="ＭＳ ゴシック"/>
        <family val="3"/>
        <charset val="128"/>
      </rPr>
      <t>※</t>
    </r>
    <r>
      <rPr>
        <sz val="10"/>
        <color rgb="FF666666"/>
        <rFont val="Arial"/>
        <family val="2"/>
        <scheme val="minor"/>
      </rPr>
      <t xml:space="preserve"> </t>
    </r>
    <r>
      <rPr>
        <sz val="10"/>
        <color rgb="FF666666"/>
        <rFont val="ＭＳ ゴシック"/>
        <family val="3"/>
        <charset val="128"/>
      </rPr>
      <t>不具合の報告・質問などは</t>
    </r>
    <r>
      <rPr>
        <sz val="10"/>
        <color rgb="FF666666"/>
        <rFont val="Arial"/>
        <family val="2"/>
        <scheme val="minor"/>
      </rPr>
      <t>TKG</t>
    </r>
    <r>
      <rPr>
        <sz val="10"/>
        <color rgb="FF666666"/>
        <rFont val="Segoe UI Emoji"/>
        <family val="2"/>
      </rPr>
      <t>😍🥰😘</t>
    </r>
    <r>
      <rPr>
        <sz val="10"/>
        <color rgb="FF666666"/>
        <rFont val="ＭＳ ゴシック"/>
        <family val="3"/>
        <charset val="128"/>
      </rPr>
      <t>までお願いします</t>
    </r>
    <phoneticPr fontId="3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</si>
</sst>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"/>
  </numFmts>
  <fonts count="40">
    <font>
      <sz val="10"/>
      <color rgb="FF000000"/>
      <name val="Arial"/>
      <scheme val="minor"/>
    </font>
    <font>
      <sz val="9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9"/>
      <color rgb="FF666666"/>
      <name val="Arial"/>
      <family val="2"/>
      <scheme val="minor"/>
    </font>
    <font>
      <sz val="10"/>
      <name val="Arial"/>
      <family val="2"/>
    </font>
    <font>
      <b/>
      <sz val="15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666666"/>
      <name val="Arial"/>
      <family val="2"/>
      <scheme val="minor"/>
    </font>
    <font>
      <b/>
      <sz val="8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7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666666"/>
      <name val="Arial"/>
      <family val="2"/>
      <scheme val="minor"/>
    </font>
    <font>
      <b/>
      <sz val="13"/>
      <color theme="1"/>
      <name val="Arial"/>
      <family val="2"/>
      <scheme val="minor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sz val="7"/>
      <color theme="1"/>
      <name val="Arial"/>
      <family val="2"/>
    </font>
    <font>
      <sz val="10"/>
      <color rgb="FF666666"/>
      <name val="Arial"/>
      <family val="2"/>
    </font>
    <font>
      <sz val="9"/>
      <color theme="1"/>
      <name val="Arial"/>
      <family val="2"/>
    </font>
    <font>
      <sz val="7"/>
      <color theme="1"/>
      <name val="Arial"/>
      <family val="2"/>
      <scheme val="minor"/>
    </font>
    <font>
      <sz val="9"/>
      <color rgb="FF666666"/>
      <name val="Arial"/>
      <family val="2"/>
    </font>
    <font>
      <b/>
      <sz val="6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trike/>
      <sz val="10"/>
      <color theme="1"/>
      <name val="Arial"/>
      <family val="2"/>
      <scheme val="minor"/>
    </font>
    <font>
      <b/>
      <sz val="22"/>
      <color theme="1"/>
      <name val="Arial"/>
      <family val="2"/>
      <scheme val="minor"/>
    </font>
    <font>
      <b/>
      <sz val="16"/>
      <color theme="1"/>
      <name val="Arial"/>
      <family val="2"/>
    </font>
    <font>
      <b/>
      <sz val="13"/>
      <color theme="1"/>
      <name val="Arial"/>
      <family val="2"/>
    </font>
    <font>
      <b/>
      <sz val="8"/>
      <color theme="1"/>
      <name val="Arial"/>
      <family val="2"/>
    </font>
    <font>
      <b/>
      <sz val="6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E06666"/>
      <name val="Arial"/>
      <family val="2"/>
    </font>
    <font>
      <b/>
      <sz val="11"/>
      <color rgb="FFF1C232"/>
      <name val="Arial"/>
      <family val="2"/>
    </font>
    <font>
      <sz val="6"/>
      <name val="Arial"/>
      <family val="3"/>
      <charset val="128"/>
      <scheme val="minor"/>
    </font>
    <font>
      <sz val="10"/>
      <color rgb="FF666666"/>
      <name val="Arial"/>
      <family val="3"/>
      <charset val="128"/>
      <scheme val="minor"/>
    </font>
    <font>
      <sz val="10"/>
      <color rgb="FF666666"/>
      <name val="ＭＳ ゴシック"/>
      <family val="3"/>
      <charset val="128"/>
    </font>
    <font>
      <sz val="10"/>
      <color rgb="FF666666"/>
      <name val="Segoe UI Emoji"/>
      <family val="2"/>
    </font>
  </fonts>
  <fills count="8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54">
    <border>
      <left/>
      <right/>
      <top/>
      <bottom/>
      <diagonal/>
    </border>
    <border>
      <left style="medium">
        <color rgb="FF434343"/>
      </left>
      <right/>
      <top style="medium">
        <color rgb="FF434343"/>
      </top>
      <bottom style="medium">
        <color rgb="FF434343"/>
      </bottom>
      <diagonal/>
    </border>
    <border>
      <left/>
      <right/>
      <top style="medium">
        <color rgb="FF434343"/>
      </top>
      <bottom style="medium">
        <color rgb="FF434343"/>
      </bottom>
      <diagonal/>
    </border>
    <border>
      <left/>
      <right style="medium">
        <color rgb="FF434343"/>
      </right>
      <top style="medium">
        <color rgb="FF434343"/>
      </top>
      <bottom style="medium">
        <color rgb="FF434343"/>
      </bottom>
      <diagonal/>
    </border>
    <border>
      <left style="medium">
        <color rgb="FF434343"/>
      </left>
      <right/>
      <top style="medium">
        <color rgb="FF434343"/>
      </top>
      <bottom/>
      <diagonal/>
    </border>
    <border>
      <left/>
      <right style="medium">
        <color rgb="FF434343"/>
      </right>
      <top style="medium">
        <color rgb="FF434343"/>
      </top>
      <bottom/>
      <diagonal/>
    </border>
    <border>
      <left style="medium">
        <color rgb="FF434343"/>
      </left>
      <right/>
      <top/>
      <bottom style="medium">
        <color rgb="FF434343"/>
      </bottom>
      <diagonal/>
    </border>
    <border>
      <left/>
      <right style="medium">
        <color rgb="FF434343"/>
      </right>
      <top/>
      <bottom style="medium">
        <color rgb="FF434343"/>
      </bottom>
      <diagonal/>
    </border>
    <border>
      <left style="medium">
        <color rgb="FF434343"/>
      </left>
      <right/>
      <top/>
      <bottom/>
      <diagonal/>
    </border>
    <border>
      <left/>
      <right style="thin">
        <color rgb="FF434343"/>
      </right>
      <top/>
      <bottom/>
      <diagonal/>
    </border>
    <border>
      <left/>
      <right style="thin">
        <color rgb="FF434343"/>
      </right>
      <top/>
      <bottom style="medium">
        <color rgb="FF434343"/>
      </bottom>
      <diagonal/>
    </border>
    <border>
      <left style="medium">
        <color rgb="FF434343"/>
      </left>
      <right/>
      <top/>
      <bottom style="thin">
        <color rgb="FF434343"/>
      </bottom>
      <diagonal/>
    </border>
    <border>
      <left/>
      <right style="thin">
        <color rgb="FF434343"/>
      </right>
      <top/>
      <bottom style="thin">
        <color rgb="FF434343"/>
      </bottom>
      <diagonal/>
    </border>
    <border>
      <left style="medium">
        <color rgb="FF434343"/>
      </left>
      <right/>
      <top style="medium">
        <color rgb="FF434343"/>
      </top>
      <bottom style="thin">
        <color rgb="FF434343"/>
      </bottom>
      <diagonal/>
    </border>
    <border>
      <left/>
      <right style="medium">
        <color rgb="FF434343"/>
      </right>
      <top style="medium">
        <color rgb="FF434343"/>
      </top>
      <bottom style="thin">
        <color rgb="FF434343"/>
      </bottom>
      <diagonal/>
    </border>
    <border>
      <left/>
      <right/>
      <top/>
      <bottom style="thin">
        <color rgb="FF434343"/>
      </bottom>
      <diagonal/>
    </border>
    <border>
      <left style="medium">
        <color rgb="FF434343"/>
      </left>
      <right/>
      <top style="thin">
        <color rgb="FF434343"/>
      </top>
      <bottom/>
      <diagonal/>
    </border>
    <border>
      <left/>
      <right style="thin">
        <color rgb="FF434343"/>
      </right>
      <top style="thin">
        <color rgb="FF434343"/>
      </top>
      <bottom/>
      <diagonal/>
    </border>
    <border>
      <left/>
      <right style="medium">
        <color rgb="FF434343"/>
      </right>
      <top style="thin">
        <color rgb="FF434343"/>
      </top>
      <bottom/>
      <diagonal/>
    </border>
    <border>
      <left/>
      <right/>
      <top style="thin">
        <color rgb="FF434343"/>
      </top>
      <bottom/>
      <diagonal/>
    </border>
    <border>
      <left/>
      <right style="thin">
        <color rgb="FF434343"/>
      </right>
      <top style="medium">
        <color rgb="FF434343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434343"/>
      </bottom>
      <diagonal/>
    </border>
    <border>
      <left/>
      <right/>
      <top/>
      <bottom style="medium">
        <color rgb="FF434343"/>
      </bottom>
      <diagonal/>
    </border>
    <border>
      <left/>
      <right style="medium">
        <color rgb="FF434343"/>
      </right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medium">
        <color rgb="FF434343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434343"/>
      </top>
      <bottom style="medium">
        <color rgb="FF434343"/>
      </bottom>
      <diagonal/>
    </border>
    <border>
      <left/>
      <right style="thin">
        <color rgb="FF000000"/>
      </right>
      <top style="medium">
        <color rgb="FF434343"/>
      </top>
      <bottom style="medium">
        <color rgb="FF434343"/>
      </bottom>
      <diagonal/>
    </border>
    <border>
      <left style="thin">
        <color rgb="FF000000"/>
      </left>
      <right/>
      <top/>
      <bottom style="thin">
        <color rgb="FF434343"/>
      </bottom>
      <diagonal/>
    </border>
    <border>
      <left/>
      <right/>
      <top style="medium">
        <color rgb="FF434343"/>
      </top>
      <bottom style="thin">
        <color rgb="FF434343"/>
      </bottom>
      <diagonal/>
    </border>
    <border>
      <left/>
      <right style="thin">
        <color rgb="FF434343"/>
      </right>
      <top style="medium">
        <color rgb="FF434343"/>
      </top>
      <bottom style="thin">
        <color rgb="FF434343"/>
      </bottom>
      <diagonal/>
    </border>
    <border>
      <left/>
      <right style="thin">
        <color rgb="FF000000"/>
      </right>
      <top style="medium">
        <color rgb="FF434343"/>
      </top>
      <bottom style="thin">
        <color rgb="FF434343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434343"/>
      </top>
      <bottom/>
      <diagonal/>
    </border>
    <border>
      <left/>
      <right style="thin">
        <color rgb="FF000000"/>
      </right>
      <top style="thin">
        <color rgb="FF434343"/>
      </top>
      <bottom/>
      <diagonal/>
    </border>
    <border>
      <left/>
      <right style="thin">
        <color rgb="FF000000"/>
      </right>
      <top style="medium">
        <color rgb="FF434343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3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177" fontId="11" fillId="0" borderId="1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right"/>
    </xf>
    <xf numFmtId="176" fontId="11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15" fillId="0" borderId="1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177" fontId="11" fillId="0" borderId="39" xfId="0" applyNumberFormat="1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177" fontId="22" fillId="0" borderId="38" xfId="0" applyNumberFormat="1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177" fontId="22" fillId="0" borderId="21" xfId="0" applyNumberFormat="1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3" fillId="3" borderId="50" xfId="0" applyFont="1" applyFill="1" applyBorder="1" applyAlignment="1">
      <alignment horizontal="center" vertical="center"/>
    </xf>
    <xf numFmtId="0" fontId="13" fillId="7" borderId="50" xfId="0" applyFont="1" applyFill="1" applyBorder="1" applyAlignment="1">
      <alignment horizontal="center" vertical="center"/>
    </xf>
    <xf numFmtId="0" fontId="26" fillId="0" borderId="51" xfId="0" applyFont="1" applyBorder="1" applyAlignment="1">
      <alignment horizontal="center" vertical="center"/>
    </xf>
    <xf numFmtId="176" fontId="12" fillId="0" borderId="50" xfId="0" applyNumberFormat="1" applyFont="1" applyBorder="1" applyAlignment="1">
      <alignment horizontal="center" vertical="center"/>
    </xf>
    <xf numFmtId="0" fontId="26" fillId="0" borderId="50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22" fillId="0" borderId="50" xfId="0" applyFont="1" applyBorder="1" applyAlignment="1">
      <alignment horizontal="center" vertical="center"/>
    </xf>
    <xf numFmtId="0" fontId="22" fillId="0" borderId="5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/>
    <xf numFmtId="0" fontId="11" fillId="0" borderId="0" xfId="0" applyFont="1" applyAlignment="1"/>
    <xf numFmtId="0" fontId="11" fillId="0" borderId="0" xfId="0" applyFont="1"/>
    <xf numFmtId="0" fontId="2" fillId="2" borderId="1" xfId="0" applyFont="1" applyFill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2" fillId="3" borderId="4" xfId="0" applyFont="1" applyFill="1" applyBorder="1" applyAlignment="1">
      <alignment horizontal="center" vertical="center"/>
    </xf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7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6" fillId="0" borderId="9" xfId="0" applyFont="1" applyBorder="1"/>
    <xf numFmtId="0" fontId="6" fillId="0" borderId="10" xfId="0" applyFont="1" applyBorder="1"/>
    <xf numFmtId="0" fontId="2" fillId="3" borderId="13" xfId="0" applyFont="1" applyFill="1" applyBorder="1" applyAlignment="1">
      <alignment horizontal="center" vertical="center"/>
    </xf>
    <xf numFmtId="0" fontId="6" fillId="0" borderId="14" xfId="0" applyFont="1" applyBorder="1"/>
    <xf numFmtId="0" fontId="2" fillId="3" borderId="15" xfId="0" applyFont="1" applyFill="1" applyBorder="1" applyAlignment="1">
      <alignment horizontal="center" vertical="center"/>
    </xf>
    <xf numFmtId="0" fontId="6" fillId="0" borderId="12" xfId="0" applyFont="1" applyBorder="1"/>
    <xf numFmtId="0" fontId="11" fillId="0" borderId="6" xfId="0" applyFont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6" fillId="0" borderId="20" xfId="0" applyFont="1" applyBorder="1"/>
    <xf numFmtId="0" fontId="2" fillId="3" borderId="11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6" fillId="0" borderId="17" xfId="0" applyFont="1" applyBorder="1"/>
    <xf numFmtId="0" fontId="6" fillId="0" borderId="18" xfId="0" applyFont="1" applyBorder="1"/>
    <xf numFmtId="0" fontId="13" fillId="3" borderId="19" xfId="0" applyFont="1" applyFill="1" applyBorder="1" applyAlignment="1">
      <alignment horizontal="center" vertical="center"/>
    </xf>
    <xf numFmtId="0" fontId="13" fillId="3" borderId="47" xfId="0" applyFont="1" applyFill="1" applyBorder="1" applyAlignment="1">
      <alignment horizontal="center" vertical="center"/>
    </xf>
    <xf numFmtId="0" fontId="6" fillId="0" borderId="19" xfId="0" applyFont="1" applyBorder="1"/>
    <xf numFmtId="0" fontId="6" fillId="0" borderId="48" xfId="0" applyFont="1" applyBorder="1"/>
    <xf numFmtId="177" fontId="11" fillId="0" borderId="39" xfId="0" applyNumberFormat="1" applyFont="1" applyBorder="1" applyAlignment="1">
      <alignment horizontal="center" vertical="center"/>
    </xf>
    <xf numFmtId="177" fontId="11" fillId="0" borderId="1" xfId="0" applyNumberFormat="1" applyFont="1" applyBorder="1" applyAlignment="1">
      <alignment horizontal="center" vertical="center"/>
    </xf>
    <xf numFmtId="0" fontId="2" fillId="3" borderId="39" xfId="0" applyFont="1" applyFill="1" applyBorder="1" applyAlignment="1">
      <alignment horizontal="center" vertical="center"/>
    </xf>
    <xf numFmtId="0" fontId="6" fillId="0" borderId="40" xfId="0" applyFont="1" applyBorder="1"/>
    <xf numFmtId="0" fontId="10" fillId="3" borderId="28" xfId="0" applyFont="1" applyFill="1" applyBorder="1" applyAlignment="1">
      <alignment horizontal="center" vertical="center"/>
    </xf>
    <xf numFmtId="0" fontId="0" fillId="0" borderId="0" xfId="0" applyFont="1" applyAlignment="1"/>
    <xf numFmtId="0" fontId="6" fillId="0" borderId="29" xfId="0" applyFont="1" applyBorder="1"/>
    <xf numFmtId="0" fontId="6" fillId="0" borderId="49" xfId="0" applyFont="1" applyBorder="1"/>
    <xf numFmtId="0" fontId="10" fillId="3" borderId="21" xfId="0" applyFont="1" applyFill="1" applyBorder="1" applyAlignment="1">
      <alignment horizontal="center" vertical="center"/>
    </xf>
    <xf numFmtId="0" fontId="6" fillId="0" borderId="23" xfId="0" applyFont="1" applyBorder="1"/>
    <xf numFmtId="0" fontId="13" fillId="3" borderId="28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25" fillId="3" borderId="4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12" fillId="4" borderId="21" xfId="0" applyFont="1" applyFill="1" applyBorder="1" applyAlignment="1">
      <alignment horizontal="center" vertical="center"/>
    </xf>
    <xf numFmtId="0" fontId="6" fillId="0" borderId="22" xfId="0" applyFont="1" applyBorder="1"/>
    <xf numFmtId="0" fontId="12" fillId="5" borderId="21" xfId="0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6" fillId="0" borderId="25" xfId="0" applyFont="1" applyBorder="1"/>
    <xf numFmtId="0" fontId="18" fillId="3" borderId="4" xfId="0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8" fillId="6" borderId="30" xfId="0" applyFont="1" applyFill="1" applyBorder="1" applyAlignment="1">
      <alignment horizontal="center" vertical="center"/>
    </xf>
    <xf numFmtId="0" fontId="6" fillId="0" borderId="31" xfId="0" applyFont="1" applyBorder="1"/>
    <xf numFmtId="0" fontId="6" fillId="0" borderId="34" xfId="0" applyFont="1" applyBorder="1"/>
    <xf numFmtId="0" fontId="6" fillId="0" borderId="35" xfId="0" applyFont="1" applyBorder="1"/>
    <xf numFmtId="0" fontId="18" fillId="6" borderId="32" xfId="0" applyFont="1" applyFill="1" applyBorder="1" applyAlignment="1">
      <alignment horizontal="center" vertical="center"/>
    </xf>
    <xf numFmtId="0" fontId="6" fillId="0" borderId="36" xfId="0" applyFont="1" applyBorder="1"/>
    <xf numFmtId="0" fontId="22" fillId="0" borderId="38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18" fillId="6" borderId="38" xfId="0" applyFont="1" applyFill="1" applyBorder="1" applyAlignment="1">
      <alignment horizontal="center" vertical="center"/>
    </xf>
    <xf numFmtId="0" fontId="17" fillId="4" borderId="21" xfId="0" applyFont="1" applyFill="1" applyBorder="1" applyAlignment="1">
      <alignment horizontal="center" vertical="center"/>
    </xf>
    <xf numFmtId="0" fontId="17" fillId="5" borderId="21" xfId="0" applyFont="1" applyFill="1" applyBorder="1" applyAlignment="1">
      <alignment horizontal="center" vertical="center"/>
    </xf>
    <xf numFmtId="0" fontId="10" fillId="3" borderId="24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6" fillId="0" borderId="26" xfId="0" applyFont="1" applyBorder="1"/>
    <xf numFmtId="0" fontId="6" fillId="0" borderId="8" xfId="0" applyFont="1" applyBorder="1"/>
    <xf numFmtId="0" fontId="10" fillId="6" borderId="24" xfId="0" applyFont="1" applyFill="1" applyBorder="1" applyAlignment="1">
      <alignment horizontal="center" vertical="center"/>
    </xf>
    <xf numFmtId="0" fontId="18" fillId="6" borderId="21" xfId="0" applyFont="1" applyFill="1" applyBorder="1" applyAlignment="1">
      <alignment horizontal="center" vertical="center"/>
    </xf>
    <xf numFmtId="0" fontId="6" fillId="0" borderId="27" xfId="0" applyFont="1" applyBorder="1"/>
    <xf numFmtId="0" fontId="6" fillId="0" borderId="33" xfId="0" applyFont="1" applyBorder="1"/>
    <xf numFmtId="0" fontId="6" fillId="0" borderId="37" xfId="0" applyFont="1" applyBorder="1"/>
    <xf numFmtId="0" fontId="6" fillId="0" borderId="15" xfId="0" applyFont="1" applyBorder="1"/>
    <xf numFmtId="0" fontId="6" fillId="0" borderId="42" xfId="0" applyFont="1" applyBorder="1"/>
    <xf numFmtId="0" fontId="6" fillId="0" borderId="44" xfId="0" applyFont="1" applyBorder="1"/>
    <xf numFmtId="0" fontId="2" fillId="3" borderId="28" xfId="0" applyFont="1" applyFill="1" applyBorder="1" applyAlignment="1">
      <alignment horizontal="center" vertical="center"/>
    </xf>
    <xf numFmtId="0" fontId="6" fillId="0" borderId="24" xfId="0" applyFont="1" applyBorder="1"/>
    <xf numFmtId="0" fontId="11" fillId="0" borderId="24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/>
    </xf>
    <xf numFmtId="0" fontId="6" fillId="0" borderId="43" xfId="0" applyFont="1" applyBorder="1"/>
    <xf numFmtId="0" fontId="11" fillId="0" borderId="21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6" fillId="0" borderId="45" xfId="0" applyFont="1" applyBorder="1"/>
    <xf numFmtId="0" fontId="6" fillId="0" borderId="46" xfId="0" applyFont="1" applyBorder="1"/>
    <xf numFmtId="0" fontId="7" fillId="0" borderId="32" xfId="0" applyFont="1" applyBorder="1" applyAlignment="1">
      <alignment horizontal="center" vertical="center"/>
    </xf>
    <xf numFmtId="0" fontId="6" fillId="0" borderId="52" xfId="0" applyFont="1" applyBorder="1"/>
    <xf numFmtId="0" fontId="6" fillId="0" borderId="53" xfId="0" applyFont="1" applyBorder="1"/>
    <xf numFmtId="0" fontId="37" fillId="0" borderId="0" xfId="0" applyFont="1" applyAlignment="1">
      <alignment horizontal="left" vertical="center"/>
    </xf>
  </cellXfs>
  <cellStyles count="1">
    <cellStyle name="標準" xfId="0" builtinId="0"/>
  </cellStyles>
  <dxfs count="2">
    <dxf>
      <font>
        <b/>
      </font>
      <fill>
        <patternFill patternType="solid">
          <fgColor rgb="FFF2FFEE"/>
          <bgColor rgb="FFF2FFEE"/>
        </patternFill>
      </fill>
    </dxf>
    <dxf>
      <font>
        <b/>
      </font>
      <fill>
        <patternFill patternType="solid">
          <fgColor rgb="FFF2FFEE"/>
          <bgColor rgb="FFF2FF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25"/>
  <sheetViews>
    <sheetView topLeftCell="A13" workbookViewId="0"/>
  </sheetViews>
  <sheetFormatPr defaultColWidth="12.5703125" defaultRowHeight="15.8" customHeight="1"/>
  <cols>
    <col min="1" max="1" width="3.5703125" customWidth="1"/>
    <col min="2" max="2" width="14.5703125" customWidth="1"/>
    <col min="3" max="3" width="6.85546875" customWidth="1"/>
    <col min="4" max="4" width="14.5703125" customWidth="1"/>
    <col min="5" max="5" width="6.85546875" customWidth="1"/>
    <col min="6" max="6" width="14.5703125" customWidth="1"/>
    <col min="7" max="7" width="6.85546875" customWidth="1"/>
    <col min="8" max="8" width="14.5703125" customWidth="1"/>
    <col min="9" max="9" width="6.85546875" customWidth="1"/>
    <col min="10" max="10" width="14.5703125" customWidth="1"/>
    <col min="11" max="11" width="6.85546875" customWidth="1"/>
    <col min="12" max="12" width="14.5703125" customWidth="1"/>
    <col min="13" max="13" width="6.85546875" customWidth="1"/>
    <col min="14" max="14" width="14.5703125" customWidth="1"/>
    <col min="15" max="15" width="6.85546875" customWidth="1"/>
    <col min="16" max="16" width="14.5703125" customWidth="1"/>
    <col min="17" max="17" width="6.85546875" customWidth="1"/>
    <col min="18" max="18" width="4.85546875" customWidth="1"/>
  </cols>
  <sheetData>
    <row r="1" spans="1:18" ht="19.5" customHeight="1">
      <c r="A1" s="1"/>
      <c r="B1" s="2"/>
      <c r="C1" s="2"/>
      <c r="D1" s="2"/>
      <c r="E1" s="2"/>
      <c r="F1" s="2"/>
      <c r="G1" s="2"/>
      <c r="H1" s="2"/>
      <c r="I1" s="2"/>
      <c r="J1" s="1"/>
      <c r="K1" s="1"/>
      <c r="L1" s="1"/>
      <c r="M1" s="1"/>
      <c r="N1" s="1"/>
      <c r="O1" s="1"/>
      <c r="P1" s="1"/>
      <c r="Q1" s="1"/>
      <c r="R1" s="3"/>
    </row>
    <row r="2" spans="1:18" ht="35.299999999999997" customHeight="1">
      <c r="A2" s="1"/>
      <c r="B2" s="4" t="s">
        <v>0</v>
      </c>
      <c r="C2" s="2"/>
      <c r="D2" s="2"/>
      <c r="E2" s="2"/>
      <c r="F2" s="5" t="s">
        <v>1</v>
      </c>
      <c r="G2" s="2"/>
      <c r="H2" s="2"/>
      <c r="I2" s="2"/>
      <c r="J2" s="1"/>
      <c r="K2" s="1"/>
      <c r="L2" s="1"/>
      <c r="M2" s="1"/>
      <c r="N2" s="1"/>
      <c r="O2" s="1"/>
      <c r="P2" s="1"/>
      <c r="Q2" s="1"/>
      <c r="R2" s="3"/>
    </row>
    <row r="3" spans="1:18" ht="19.5" customHeight="1">
      <c r="A3" s="1"/>
      <c r="B3" s="2"/>
      <c r="C3" s="2"/>
      <c r="D3" s="2"/>
      <c r="E3" s="2"/>
      <c r="F3" s="2"/>
      <c r="G3" s="2"/>
      <c r="H3" s="2"/>
      <c r="I3" s="2"/>
      <c r="J3" s="1"/>
      <c r="K3" s="1"/>
      <c r="L3" s="1"/>
      <c r="M3" s="1"/>
      <c r="N3" s="1"/>
      <c r="O3" s="1"/>
      <c r="P3" s="1"/>
      <c r="Q3" s="1"/>
      <c r="R3" s="3"/>
    </row>
    <row r="4" spans="1:18" ht="23.95" customHeight="1">
      <c r="A4" s="1"/>
      <c r="B4" s="45" t="s">
        <v>2</v>
      </c>
      <c r="C4" s="46"/>
      <c r="D4" s="46"/>
      <c r="E4" s="46"/>
      <c r="F4" s="46"/>
      <c r="G4" s="46"/>
      <c r="H4" s="46"/>
      <c r="I4" s="47"/>
      <c r="J4" s="48" t="s">
        <v>3</v>
      </c>
      <c r="K4" s="49"/>
      <c r="L4" s="1"/>
      <c r="M4" s="1"/>
      <c r="N4" s="1"/>
      <c r="O4" s="1"/>
      <c r="P4" s="1"/>
      <c r="Q4" s="1"/>
      <c r="R4" s="3"/>
    </row>
    <row r="5" spans="1:18" ht="23.95" customHeight="1">
      <c r="A5" s="1"/>
      <c r="B5" s="45" t="s">
        <v>4</v>
      </c>
      <c r="C5" s="47"/>
      <c r="D5" s="45" t="s">
        <v>5</v>
      </c>
      <c r="E5" s="47"/>
      <c r="F5" s="45" t="s">
        <v>6</v>
      </c>
      <c r="G5" s="47"/>
      <c r="H5" s="45" t="s">
        <v>7</v>
      </c>
      <c r="I5" s="47"/>
      <c r="J5" s="50"/>
      <c r="K5" s="51"/>
      <c r="L5" s="1"/>
      <c r="M5" s="1"/>
      <c r="N5" s="1"/>
      <c r="O5" s="1"/>
      <c r="P5" s="1"/>
      <c r="Q5" s="1"/>
      <c r="R5" s="3"/>
    </row>
    <row r="6" spans="1:18" ht="42.7" customHeight="1">
      <c r="A6" s="1"/>
      <c r="B6" s="52">
        <f>ROUNDDOWN(SUM(D6:G6)*(1+H6)*(1+J6/100),0)</f>
        <v>115</v>
      </c>
      <c r="C6" s="47"/>
      <c r="D6" s="52">
        <f>B11+D11</f>
        <v>0</v>
      </c>
      <c r="E6" s="47"/>
      <c r="F6" s="52">
        <f>IF(F11=30, 115,IF(F11=50,IF(H11="1（無強化）",175,IF(H11="2（V2・改・G2）",192,IF(H11="3（V3・真・G3）",210,IF(H11="4（V4・爆・G4）",227,IF(H11="5（A・絶・GX）",245,IF(H11="6（∞・神・GO）",262,)))))),IF(F11=60,IF(H11="1（無強化）",210,IF(H11="2（V2・改・G2）",231,IF(H11="3（V3・真・G3）",252,IF(H11="4（V4・爆・G4）",273,IF(H11="5（A・絶・GX）",294,IF(H11="6（∞・神・GO）",315,)))))),IF(F11=70,IF(H11="1（無強化）",255,IF(H11="2（V2・改・G2）",280,IF(H11="3（V3・真・G3）",306,IF(H11="4（V4・爆・G4）",331,IF(H11="5（A・絶・GX）",357,IF(H11="6（∞・神・GO）",382,)))))),IF(F11=85,IF(H11="1（無強化）",312,IF(H11="2（V2・改・G2）",343,IF(H11="3（V3・真・G3）",374,IF(H11="4（V4・爆・G4）",405,IF(H11="5（A・絶・GX）",436,IF(H11="6（∞・神・GO）",468,)))))),IF(F11=100,IF(H11="1（無強化）",370,IF(H11="2（V2・改・G2）",407,IF(H11="3（V3・真・G3）",444,IF(H11="4（V4・爆・G4）",481,IF(H11="5（A・絶・GX）",518,IF(H11="6（∞・神・GO）",555,)))))),))))))</f>
        <v>115</v>
      </c>
      <c r="G6" s="47"/>
      <c r="H6" s="53">
        <f>SUM(B16,D16,F16,H16,B20,D20,F20,H20,J20,L20,B24,D24,F24)/100</f>
        <v>0</v>
      </c>
      <c r="I6" s="47"/>
      <c r="J6" s="6">
        <v>0</v>
      </c>
      <c r="K6" s="7" t="s">
        <v>8</v>
      </c>
      <c r="L6" s="1"/>
      <c r="M6" s="1"/>
      <c r="N6" s="1"/>
      <c r="O6" s="1"/>
      <c r="P6" s="1"/>
      <c r="Q6" s="1"/>
      <c r="R6" s="3"/>
    </row>
    <row r="7" spans="1:18" ht="23.95" customHeight="1">
      <c r="A7" s="1"/>
      <c r="B7" s="1"/>
      <c r="C7" s="1"/>
      <c r="D7" s="1"/>
      <c r="E7" s="1"/>
      <c r="F7" s="1"/>
      <c r="G7" s="1"/>
      <c r="H7" s="1"/>
      <c r="I7" s="1"/>
      <c r="K7" s="1"/>
      <c r="L7" s="1"/>
      <c r="M7" s="1"/>
      <c r="N7" s="1"/>
      <c r="O7" s="1"/>
      <c r="P7" s="1"/>
      <c r="Q7" s="1"/>
      <c r="R7" s="3"/>
    </row>
    <row r="8" spans="1:18" ht="30.8" customHeight="1">
      <c r="A8" s="8"/>
      <c r="B8" s="54" t="s">
        <v>9</v>
      </c>
      <c r="C8" s="46"/>
      <c r="D8" s="46"/>
      <c r="E8" s="47"/>
      <c r="F8" s="55" t="s">
        <v>10</v>
      </c>
      <c r="G8" s="46"/>
      <c r="H8" s="46"/>
      <c r="I8" s="47"/>
      <c r="R8" s="9"/>
    </row>
    <row r="9" spans="1:18" ht="18" customHeight="1">
      <c r="A9" s="2"/>
      <c r="B9" s="56" t="s">
        <v>11</v>
      </c>
      <c r="C9" s="57"/>
      <c r="D9" s="48" t="s">
        <v>12</v>
      </c>
      <c r="E9" s="49"/>
      <c r="F9" s="56" t="s">
        <v>6</v>
      </c>
      <c r="G9" s="57"/>
      <c r="H9" s="48" t="s">
        <v>13</v>
      </c>
      <c r="I9" s="49"/>
      <c r="R9" s="3"/>
    </row>
    <row r="10" spans="1:18" ht="28.6" customHeight="1">
      <c r="A10" s="2"/>
      <c r="B10" s="50"/>
      <c r="C10" s="58"/>
      <c r="D10" s="50"/>
      <c r="E10" s="51"/>
      <c r="F10" s="50"/>
      <c r="G10" s="58"/>
      <c r="H10" s="50"/>
      <c r="I10" s="51"/>
      <c r="R10" s="3"/>
    </row>
    <row r="11" spans="1:18" ht="42.7" customHeight="1">
      <c r="A11" s="10"/>
      <c r="B11" s="63">
        <v>0</v>
      </c>
      <c r="C11" s="58"/>
      <c r="D11" s="63">
        <v>0</v>
      </c>
      <c r="E11" s="51"/>
      <c r="F11" s="63">
        <v>30</v>
      </c>
      <c r="G11" s="58"/>
      <c r="H11" s="63" t="s">
        <v>14</v>
      </c>
      <c r="I11" s="51"/>
      <c r="R11" s="3"/>
    </row>
    <row r="12" spans="1:18" ht="15.8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3"/>
      <c r="O12" s="3"/>
      <c r="P12" s="3"/>
      <c r="Q12" s="3"/>
      <c r="R12" s="3"/>
    </row>
    <row r="13" spans="1:18" ht="30.8" customHeight="1">
      <c r="A13" s="11"/>
      <c r="B13" s="55" t="s">
        <v>15</v>
      </c>
      <c r="C13" s="46"/>
      <c r="D13" s="46"/>
      <c r="E13" s="46"/>
      <c r="F13" s="46"/>
      <c r="G13" s="46"/>
      <c r="H13" s="46"/>
      <c r="I13" s="47"/>
      <c r="J13" s="12"/>
      <c r="K13" s="12"/>
      <c r="L13" s="12"/>
      <c r="M13" s="12"/>
    </row>
    <row r="14" spans="1:18" ht="30.8" customHeight="1">
      <c r="A14" s="11"/>
      <c r="B14" s="68" t="s">
        <v>16</v>
      </c>
      <c r="C14" s="62"/>
      <c r="D14" s="59" t="s">
        <v>17</v>
      </c>
      <c r="E14" s="60"/>
      <c r="F14" s="61" t="s">
        <v>18</v>
      </c>
      <c r="G14" s="62"/>
      <c r="H14" s="59" t="s">
        <v>19</v>
      </c>
      <c r="I14" s="60"/>
      <c r="J14" s="12"/>
      <c r="K14" s="12"/>
      <c r="L14" s="12"/>
      <c r="M14" s="12"/>
    </row>
    <row r="15" spans="1:18" ht="30.8" customHeight="1">
      <c r="A15" s="11"/>
      <c r="B15" s="69" t="s">
        <v>20</v>
      </c>
      <c r="C15" s="70"/>
      <c r="D15" s="69" t="s">
        <v>21</v>
      </c>
      <c r="E15" s="71"/>
      <c r="F15" s="72" t="s">
        <v>22</v>
      </c>
      <c r="G15" s="70"/>
      <c r="H15" s="69" t="s">
        <v>23</v>
      </c>
      <c r="I15" s="71"/>
      <c r="J15" s="12"/>
      <c r="K15" s="12"/>
      <c r="L15" s="12"/>
      <c r="M15" s="12"/>
    </row>
    <row r="16" spans="1:18" ht="30.8" customHeight="1">
      <c r="A16" s="11"/>
      <c r="B16" s="13">
        <v>0</v>
      </c>
      <c r="C16" s="14" t="s">
        <v>8</v>
      </c>
      <c r="D16" s="13">
        <v>0</v>
      </c>
      <c r="E16" s="7" t="s">
        <v>8</v>
      </c>
      <c r="F16" s="13">
        <v>0</v>
      </c>
      <c r="G16" s="14" t="s">
        <v>8</v>
      </c>
      <c r="H16" s="13">
        <v>0</v>
      </c>
      <c r="I16" s="7" t="s">
        <v>8</v>
      </c>
      <c r="J16" s="12"/>
      <c r="K16" s="12"/>
      <c r="L16" s="12"/>
      <c r="M16" s="12"/>
    </row>
    <row r="17" spans="1:15" ht="30.8" customHeight="1">
      <c r="A17" s="11"/>
      <c r="B17" s="15"/>
      <c r="C17" s="16"/>
      <c r="D17" s="15"/>
      <c r="E17" s="17"/>
      <c r="F17" s="15"/>
      <c r="G17" s="16"/>
      <c r="H17" s="15"/>
      <c r="I17" s="17"/>
      <c r="J17" s="12"/>
      <c r="K17" s="12"/>
      <c r="L17" s="12"/>
      <c r="M17" s="12"/>
    </row>
    <row r="18" spans="1:15" ht="30.8" customHeight="1">
      <c r="A18" s="11"/>
      <c r="B18" s="65" t="s">
        <v>24</v>
      </c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7"/>
    </row>
    <row r="19" spans="1:15" ht="31.55" customHeight="1">
      <c r="A19" s="18"/>
      <c r="B19" s="66" t="s">
        <v>25</v>
      </c>
      <c r="C19" s="57"/>
      <c r="D19" s="64" t="s">
        <v>26</v>
      </c>
      <c r="E19" s="49"/>
      <c r="F19" s="64" t="s">
        <v>27</v>
      </c>
      <c r="G19" s="49"/>
      <c r="H19" s="64" t="s">
        <v>28</v>
      </c>
      <c r="I19" s="49"/>
      <c r="J19" s="64" t="s">
        <v>29</v>
      </c>
      <c r="K19" s="67"/>
      <c r="L19" s="64" t="s">
        <v>30</v>
      </c>
      <c r="M19" s="49"/>
      <c r="N19" s="19"/>
      <c r="O19" s="19"/>
    </row>
    <row r="20" spans="1:15" ht="42.7" customHeight="1">
      <c r="A20" s="20"/>
      <c r="B20" s="13">
        <v>0</v>
      </c>
      <c r="C20" s="14" t="s">
        <v>8</v>
      </c>
      <c r="D20" s="13">
        <v>0</v>
      </c>
      <c r="E20" s="14" t="s">
        <v>8</v>
      </c>
      <c r="F20" s="13">
        <v>0</v>
      </c>
      <c r="G20" s="7" t="s">
        <v>8</v>
      </c>
      <c r="H20" s="13">
        <v>0</v>
      </c>
      <c r="I20" s="14" t="s">
        <v>8</v>
      </c>
      <c r="J20" s="13">
        <v>0</v>
      </c>
      <c r="K20" s="14" t="s">
        <v>8</v>
      </c>
      <c r="L20" s="13">
        <v>0</v>
      </c>
      <c r="M20" s="7" t="s">
        <v>8</v>
      </c>
      <c r="N20" s="19"/>
      <c r="O20" s="19"/>
    </row>
    <row r="21" spans="1:15" ht="15.8" customHeight="1">
      <c r="A21" s="11"/>
      <c r="B21" s="11"/>
      <c r="C21" s="11"/>
      <c r="D21" s="11"/>
      <c r="E21" s="11"/>
      <c r="F21" s="11"/>
      <c r="G21" s="11"/>
      <c r="H21" s="3"/>
      <c r="I21" s="3"/>
      <c r="J21" s="3"/>
      <c r="K21" s="3"/>
      <c r="L21" s="3"/>
      <c r="M21" s="3"/>
      <c r="N21" s="19"/>
      <c r="O21" s="19"/>
    </row>
    <row r="22" spans="1:15" ht="30.8" customHeight="1">
      <c r="A22" s="11"/>
      <c r="B22" s="65" t="s">
        <v>31</v>
      </c>
      <c r="C22" s="46"/>
      <c r="D22" s="46"/>
      <c r="E22" s="46"/>
      <c r="F22" s="46"/>
      <c r="G22" s="47"/>
      <c r="H22" s="3"/>
      <c r="I22" s="3"/>
      <c r="J22" s="3"/>
      <c r="K22" s="3"/>
      <c r="L22" s="3"/>
      <c r="M22" s="3"/>
      <c r="N22" s="19"/>
      <c r="O22" s="19"/>
    </row>
    <row r="23" spans="1:15" ht="31.55" customHeight="1">
      <c r="A23" s="18"/>
      <c r="B23" s="66" t="s">
        <v>32</v>
      </c>
      <c r="C23" s="57"/>
      <c r="D23" s="64" t="s">
        <v>33</v>
      </c>
      <c r="E23" s="49"/>
      <c r="F23" s="64" t="s">
        <v>34</v>
      </c>
      <c r="G23" s="49"/>
      <c r="H23" s="3"/>
      <c r="I23" s="3"/>
      <c r="J23" s="3"/>
      <c r="K23" s="3"/>
      <c r="L23" s="3"/>
      <c r="M23" s="3"/>
      <c r="N23" s="19"/>
      <c r="O23" s="19"/>
    </row>
    <row r="24" spans="1:15" ht="42.7" customHeight="1">
      <c r="A24" s="20"/>
      <c r="B24" s="13">
        <v>0</v>
      </c>
      <c r="C24" s="14" t="s">
        <v>8</v>
      </c>
      <c r="D24" s="13">
        <v>0</v>
      </c>
      <c r="E24" s="14" t="s">
        <v>8</v>
      </c>
      <c r="F24" s="13">
        <v>0</v>
      </c>
      <c r="G24" s="7" t="s">
        <v>8</v>
      </c>
      <c r="H24" s="3"/>
      <c r="I24" s="3"/>
      <c r="J24" s="21"/>
      <c r="K24" s="3"/>
      <c r="L24" s="3"/>
      <c r="M24" s="21"/>
      <c r="N24" s="22" t="s">
        <v>35</v>
      </c>
      <c r="O24" s="19"/>
    </row>
    <row r="25" spans="1:15" ht="12.6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</sheetData>
  <mergeCells count="40">
    <mergeCell ref="H19:I19"/>
    <mergeCell ref="J19:K19"/>
    <mergeCell ref="B14:C14"/>
    <mergeCell ref="B15:C15"/>
    <mergeCell ref="D15:E15"/>
    <mergeCell ref="F15:G15"/>
    <mergeCell ref="H15:I15"/>
    <mergeCell ref="B18:M18"/>
    <mergeCell ref="B19:C19"/>
    <mergeCell ref="L19:M19"/>
    <mergeCell ref="D19:E19"/>
    <mergeCell ref="F19:G19"/>
    <mergeCell ref="B22:G22"/>
    <mergeCell ref="B23:C23"/>
    <mergeCell ref="D23:E23"/>
    <mergeCell ref="F23:G23"/>
    <mergeCell ref="B9:C10"/>
    <mergeCell ref="B11:C11"/>
    <mergeCell ref="D11:E11"/>
    <mergeCell ref="F11:G11"/>
    <mergeCell ref="H11:I11"/>
    <mergeCell ref="D9:E10"/>
    <mergeCell ref="F9:G10"/>
    <mergeCell ref="H9:I10"/>
    <mergeCell ref="D14:E14"/>
    <mergeCell ref="F14:G14"/>
    <mergeCell ref="B13:I13"/>
    <mergeCell ref="H14:I14"/>
    <mergeCell ref="B6:C6"/>
    <mergeCell ref="H6:I6"/>
    <mergeCell ref="D6:E6"/>
    <mergeCell ref="F6:G6"/>
    <mergeCell ref="B8:E8"/>
    <mergeCell ref="F8:I8"/>
    <mergeCell ref="B4:I4"/>
    <mergeCell ref="J4:K5"/>
    <mergeCell ref="B5:C5"/>
    <mergeCell ref="D5:E5"/>
    <mergeCell ref="F5:G5"/>
    <mergeCell ref="H5:I5"/>
  </mergeCells>
  <phoneticPr fontId="36"/>
  <dataValidations count="2">
    <dataValidation type="list" allowBlank="1" showErrorMessage="1" sqref="H11" xr:uid="{00000000-0002-0000-0000-000000000000}">
      <formula1>"1（無強化）,2（V2・改・G2）,3（V3・真・G3）,4（V4・爆・G4）,5（A・絶・GX）,6（∞・神・GO）"</formula1>
    </dataValidation>
    <dataValidation type="list" allowBlank="1" showErrorMessage="1" sqref="F11" xr:uid="{00000000-0002-0000-0000-000001000000}">
      <formula1>"30,50,60,70,85,100"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15"/>
  <sheetViews>
    <sheetView workbookViewId="0">
      <selection activeCell="S9" sqref="S9:T9"/>
    </sheetView>
  </sheetViews>
  <sheetFormatPr defaultColWidth="12.5703125" defaultRowHeight="15.8" customHeight="1"/>
  <cols>
    <col min="1" max="22" width="7.42578125" customWidth="1"/>
  </cols>
  <sheetData>
    <row r="1" spans="1:22" ht="48.1" customHeight="1">
      <c r="A1" s="108" t="s">
        <v>36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85"/>
      <c r="M1" s="109" t="s">
        <v>37</v>
      </c>
      <c r="N1" s="92"/>
      <c r="O1" s="92"/>
      <c r="P1" s="92"/>
      <c r="Q1" s="92"/>
      <c r="R1" s="92"/>
      <c r="S1" s="92"/>
      <c r="T1" s="92"/>
      <c r="U1" s="92"/>
      <c r="V1" s="85"/>
    </row>
    <row r="2" spans="1:22" ht="30.8" customHeight="1">
      <c r="A2" s="110" t="s">
        <v>38</v>
      </c>
      <c r="B2" s="95"/>
      <c r="C2" s="95"/>
      <c r="D2" s="95"/>
      <c r="E2" s="95"/>
      <c r="F2" s="51"/>
      <c r="G2" s="111" t="s">
        <v>10</v>
      </c>
      <c r="H2" s="95"/>
      <c r="I2" s="95"/>
      <c r="J2" s="51"/>
      <c r="K2" s="112" t="s">
        <v>39</v>
      </c>
      <c r="L2" s="113"/>
      <c r="M2" s="115" t="s">
        <v>40</v>
      </c>
      <c r="N2" s="95"/>
      <c r="O2" s="95"/>
      <c r="P2" s="95"/>
      <c r="Q2" s="95"/>
      <c r="R2" s="51"/>
      <c r="S2" s="116" t="s">
        <v>10</v>
      </c>
      <c r="T2" s="92"/>
      <c r="U2" s="92"/>
      <c r="V2" s="117"/>
    </row>
    <row r="3" spans="1:22" ht="18" customHeight="1">
      <c r="A3" s="123" t="s">
        <v>11</v>
      </c>
      <c r="B3" s="81"/>
      <c r="C3" s="57"/>
      <c r="D3" s="96" t="s">
        <v>12</v>
      </c>
      <c r="E3" s="82"/>
      <c r="F3" s="67"/>
      <c r="G3" s="94" t="s">
        <v>6</v>
      </c>
      <c r="H3" s="57"/>
      <c r="I3" s="96" t="s">
        <v>13</v>
      </c>
      <c r="J3" s="49"/>
      <c r="K3" s="114"/>
      <c r="L3" s="113"/>
      <c r="M3" s="99" t="s">
        <v>41</v>
      </c>
      <c r="N3" s="100"/>
      <c r="O3" s="103" t="s">
        <v>42</v>
      </c>
      <c r="P3" s="100"/>
      <c r="Q3" s="103" t="s">
        <v>43</v>
      </c>
      <c r="R3" s="100"/>
      <c r="S3" s="103" t="s">
        <v>6</v>
      </c>
      <c r="T3" s="100"/>
      <c r="U3" s="103" t="s">
        <v>13</v>
      </c>
      <c r="V3" s="118"/>
    </row>
    <row r="4" spans="1:22" ht="28.6" customHeight="1">
      <c r="A4" s="124"/>
      <c r="B4" s="95"/>
      <c r="C4" s="58"/>
      <c r="D4" s="50"/>
      <c r="E4" s="95"/>
      <c r="F4" s="58"/>
      <c r="G4" s="95"/>
      <c r="H4" s="58"/>
      <c r="I4" s="50"/>
      <c r="J4" s="51"/>
      <c r="K4" s="50"/>
      <c r="L4" s="51"/>
      <c r="M4" s="101"/>
      <c r="N4" s="102"/>
      <c r="O4" s="104"/>
      <c r="P4" s="102"/>
      <c r="Q4" s="104"/>
      <c r="R4" s="102"/>
      <c r="S4" s="104"/>
      <c r="T4" s="102"/>
      <c r="U4" s="104"/>
      <c r="V4" s="119"/>
    </row>
    <row r="5" spans="1:22" ht="42.7" customHeight="1">
      <c r="A5" s="125">
        <f>82+118+242+10</f>
        <v>452</v>
      </c>
      <c r="B5" s="95"/>
      <c r="C5" s="58"/>
      <c r="D5" s="126">
        <f>82+126+10+231</f>
        <v>449</v>
      </c>
      <c r="E5" s="95"/>
      <c r="F5" s="58"/>
      <c r="G5" s="97">
        <v>85</v>
      </c>
      <c r="H5" s="58"/>
      <c r="I5" s="98" t="s">
        <v>44</v>
      </c>
      <c r="J5" s="51"/>
      <c r="K5" s="23">
        <v>50</v>
      </c>
      <c r="L5" s="24" t="s">
        <v>8</v>
      </c>
      <c r="M5" s="105">
        <v>324</v>
      </c>
      <c r="N5" s="85"/>
      <c r="O5" s="106">
        <v>385</v>
      </c>
      <c r="P5" s="85"/>
      <c r="Q5" s="106">
        <v>445</v>
      </c>
      <c r="R5" s="85"/>
      <c r="S5" s="129">
        <v>100</v>
      </c>
      <c r="T5" s="85"/>
      <c r="U5" s="130" t="s">
        <v>14</v>
      </c>
      <c r="V5" s="117"/>
    </row>
    <row r="6" spans="1:22" ht="30.8" customHeight="1">
      <c r="A6" s="78" t="s">
        <v>15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79"/>
      <c r="M6" s="107" t="s">
        <v>45</v>
      </c>
      <c r="N6" s="92"/>
      <c r="O6" s="92"/>
      <c r="P6" s="85"/>
      <c r="Q6" s="103" t="s">
        <v>46</v>
      </c>
      <c r="R6" s="100"/>
      <c r="S6" s="103" t="s">
        <v>47</v>
      </c>
      <c r="T6" s="100"/>
      <c r="U6" s="3"/>
      <c r="V6" s="3"/>
    </row>
    <row r="7" spans="1:22" ht="30.8" customHeight="1">
      <c r="A7" s="127" t="s">
        <v>16</v>
      </c>
      <c r="B7" s="120"/>
      <c r="C7" s="62"/>
      <c r="D7" s="59" t="s">
        <v>17</v>
      </c>
      <c r="E7" s="121"/>
      <c r="F7" s="128"/>
      <c r="G7" s="61" t="s">
        <v>18</v>
      </c>
      <c r="H7" s="120"/>
      <c r="I7" s="62"/>
      <c r="J7" s="59" t="s">
        <v>19</v>
      </c>
      <c r="K7" s="121"/>
      <c r="L7" s="122"/>
      <c r="M7" s="99" t="s">
        <v>48</v>
      </c>
      <c r="N7" s="100"/>
      <c r="O7" s="103" t="s">
        <v>49</v>
      </c>
      <c r="P7" s="100"/>
      <c r="Q7" s="131"/>
      <c r="R7" s="132"/>
      <c r="S7" s="131"/>
      <c r="T7" s="132"/>
      <c r="U7" s="3"/>
      <c r="V7" s="3"/>
    </row>
    <row r="8" spans="1:22" ht="30.8" customHeight="1">
      <c r="A8" s="73" t="s">
        <v>20</v>
      </c>
      <c r="B8" s="74"/>
      <c r="C8" s="70"/>
      <c r="D8" s="69" t="s">
        <v>21</v>
      </c>
      <c r="E8" s="74"/>
      <c r="F8" s="70"/>
      <c r="G8" s="72" t="s">
        <v>22</v>
      </c>
      <c r="H8" s="74"/>
      <c r="I8" s="70"/>
      <c r="J8" s="69" t="s">
        <v>23</v>
      </c>
      <c r="K8" s="74"/>
      <c r="L8" s="75"/>
      <c r="M8" s="101"/>
      <c r="N8" s="102"/>
      <c r="O8" s="104"/>
      <c r="P8" s="102"/>
      <c r="Q8" s="104"/>
      <c r="R8" s="102"/>
      <c r="S8" s="104"/>
      <c r="T8" s="102"/>
      <c r="U8" s="3"/>
      <c r="V8" s="3"/>
    </row>
    <row r="9" spans="1:22" ht="30.8" customHeight="1">
      <c r="A9" s="76">
        <v>50</v>
      </c>
      <c r="B9" s="46"/>
      <c r="C9" s="14" t="s">
        <v>8</v>
      </c>
      <c r="D9" s="77">
        <v>0</v>
      </c>
      <c r="E9" s="46"/>
      <c r="F9" s="14" t="s">
        <v>8</v>
      </c>
      <c r="G9" s="77">
        <v>0</v>
      </c>
      <c r="H9" s="46"/>
      <c r="I9" s="14" t="s">
        <v>8</v>
      </c>
      <c r="J9" s="77">
        <v>0</v>
      </c>
      <c r="K9" s="46"/>
      <c r="L9" s="26" t="s">
        <v>8</v>
      </c>
      <c r="M9" s="27">
        <v>0</v>
      </c>
      <c r="N9" s="28" t="s">
        <v>8</v>
      </c>
      <c r="O9" s="29">
        <v>0</v>
      </c>
      <c r="P9" s="28" t="s">
        <v>8</v>
      </c>
      <c r="Q9" s="106" t="b">
        <v>0</v>
      </c>
      <c r="R9" s="85"/>
      <c r="S9" s="106" t="b">
        <v>0</v>
      </c>
      <c r="T9" s="85"/>
      <c r="U9" s="3"/>
      <c r="V9" s="3"/>
    </row>
    <row r="10" spans="1:22" ht="30.8" customHeight="1">
      <c r="A10" s="78" t="s">
        <v>24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79"/>
      <c r="M10" s="30"/>
      <c r="N10" s="3"/>
      <c r="O10" s="3"/>
      <c r="P10" s="3"/>
      <c r="Q10" s="3"/>
      <c r="R10" s="3"/>
      <c r="S10" s="3"/>
      <c r="T10" s="3"/>
      <c r="U10" s="3"/>
      <c r="V10" s="3"/>
    </row>
    <row r="11" spans="1:22" ht="31.55" customHeight="1">
      <c r="A11" s="86" t="s">
        <v>25</v>
      </c>
      <c r="B11" s="57"/>
      <c r="C11" s="87" t="s">
        <v>26</v>
      </c>
      <c r="D11" s="49"/>
      <c r="E11" s="88" t="s">
        <v>27</v>
      </c>
      <c r="F11" s="49"/>
      <c r="G11" s="87" t="s">
        <v>28</v>
      </c>
      <c r="H11" s="49"/>
      <c r="I11" s="87" t="s">
        <v>29</v>
      </c>
      <c r="J11" s="67"/>
      <c r="K11" s="87" t="s">
        <v>30</v>
      </c>
      <c r="L11" s="83"/>
      <c r="M11" s="31"/>
      <c r="N11" s="91" t="s">
        <v>4</v>
      </c>
      <c r="O11" s="92"/>
      <c r="P11" s="85"/>
      <c r="Q11" s="93" t="s">
        <v>50</v>
      </c>
      <c r="R11" s="92"/>
      <c r="S11" s="85"/>
      <c r="T11" s="89" t="s">
        <v>51</v>
      </c>
      <c r="U11" s="85"/>
      <c r="V11" s="3"/>
    </row>
    <row r="12" spans="1:22" ht="42.7" customHeight="1">
      <c r="A12" s="25">
        <v>5</v>
      </c>
      <c r="B12" s="14" t="s">
        <v>8</v>
      </c>
      <c r="C12" s="13">
        <v>10</v>
      </c>
      <c r="D12" s="14" t="s">
        <v>8</v>
      </c>
      <c r="E12" s="13">
        <v>0</v>
      </c>
      <c r="F12" s="7" t="s">
        <v>8</v>
      </c>
      <c r="G12" s="13">
        <v>0</v>
      </c>
      <c r="H12" s="14" t="s">
        <v>8</v>
      </c>
      <c r="I12" s="13">
        <v>0</v>
      </c>
      <c r="J12" s="14" t="s">
        <v>8</v>
      </c>
      <c r="K12" s="13">
        <v>0</v>
      </c>
      <c r="L12" s="26" t="s">
        <v>8</v>
      </c>
      <c r="M12" s="31"/>
      <c r="N12" s="90">
        <f>ROUNDDOWN(SUM(N14:O14)*(1+P14)*(1+K5/100)*IF(P15, 1.2, 1),0)</f>
        <v>4337</v>
      </c>
      <c r="O12" s="92"/>
      <c r="P12" s="85"/>
      <c r="Q12" s="90">
        <f>ROUNDDOWN((Q14*(1+M9/100))*IF(Q9,1.2,1),0)+S14</f>
        <v>3953</v>
      </c>
      <c r="R12" s="92"/>
      <c r="S12" s="85"/>
      <c r="T12" s="90">
        <f>ROUNDUP(Q12/N12,0)</f>
        <v>1</v>
      </c>
      <c r="U12" s="85"/>
      <c r="V12" s="3"/>
    </row>
    <row r="13" spans="1:22" ht="30.8" customHeight="1">
      <c r="A13" s="78" t="s">
        <v>31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79"/>
      <c r="M13" s="31"/>
      <c r="N13" s="32" t="s">
        <v>5</v>
      </c>
      <c r="O13" s="32" t="s">
        <v>6</v>
      </c>
      <c r="P13" s="32" t="s">
        <v>45</v>
      </c>
      <c r="Q13" s="33" t="s">
        <v>52</v>
      </c>
      <c r="R13" s="33" t="s">
        <v>6</v>
      </c>
      <c r="S13" s="33" t="s">
        <v>53</v>
      </c>
      <c r="T13" s="89" t="s">
        <v>54</v>
      </c>
      <c r="U13" s="85"/>
      <c r="V13" s="3"/>
    </row>
    <row r="14" spans="1:22" ht="31.55" customHeight="1">
      <c r="A14" s="80" t="s">
        <v>32</v>
      </c>
      <c r="B14" s="81"/>
      <c r="C14" s="81"/>
      <c r="D14" s="57"/>
      <c r="E14" s="64" t="s">
        <v>33</v>
      </c>
      <c r="F14" s="82"/>
      <c r="G14" s="82"/>
      <c r="H14" s="49"/>
      <c r="I14" s="64" t="s">
        <v>34</v>
      </c>
      <c r="J14" s="82"/>
      <c r="K14" s="82"/>
      <c r="L14" s="83"/>
      <c r="M14" s="31"/>
      <c r="N14" s="34">
        <f>A5+D5</f>
        <v>901</v>
      </c>
      <c r="O14" s="34">
        <f>IF(G5=30, 115,IF(G5=50,IF(I5="1（無強化）",175,IF(I5="2（V2・改・G2）",192,IF(I5="3（V3・真・G3）",210,IF(I5="4（V4・爆・G4）",227,IF(I5="5（A・絶・GX）",245,IF(I5="6（∞・神・GO）",262,)))))),IF(G5=60,IF(I5="1（無強化）",210,IF(I5="2（V2・改・G2）",231,IF(I5="3（V3・真・G3）",252,IF(I5="4（V4・爆・G4）",273,IF(I5="5（A・絶・GX）",294,IF(I5="6（∞・神・GO）",315,)))))),IF(G5=70,IF(I5="1（無強化）",255,IF(I5="2（V2・改・G2）",280,IF(I5="3（V3・真・G3）",306,IF(I5="4（V4・爆・G4）",331,IF(I5="5（A・絶・GX）",357,IF(I5="6（∞・神・GO）",382,)))))),IF(G5=85,IF(I5="1（無強化）",312,IF(I5="2（V2・改・G2）",343,IF(I5="3（V3・真・G3）",374,IF(I5="4（V4・爆・G4）",405,IF(I5="5（A・絶・GX）",436,IF(I5="6（∞・神・GO）",468,)))))),IF(G5=100,IF(I5="1（無強化）",370,IF(I5="2（V2・改・G2）",407,IF(I5="3（V3・真・G3）",444,IF(I5="4（V4・爆・G4）",481,IF(I5="5（A・絶・GX）",518,IF(I5="6（∞・神・GO）",555,)))))),))))))</f>
        <v>374</v>
      </c>
      <c r="P14" s="35">
        <f>SUM(A9,D9,G9,J9,A12,C12,E12,G12,I12,K12,A15,E15,I15)/100</f>
        <v>0.89</v>
      </c>
      <c r="Q14" s="36">
        <f>M5*2+O5*3+Q5*4</f>
        <v>3583</v>
      </c>
      <c r="R14" s="36">
        <f>IF(S5=30, 115,IF(S5=50,IF(U5="1（無強化）",175,IF(U5="2（V2・改・G2）",192,IF(U5="3（V3・真・G3）",210,IF(U5="4（V4・爆・G4）",227,IF(U5="5（A・絶・GX）",245,IF(U5="6（∞・神・GO）",262,)))))),IF(S5=60,IF(U5="1（無強化）",210,IF(U5="2（V2・改・G2）",231,IF(U5="3（V3・真・G3）",252,IF(U5="4（V4・爆・G4）",273,IF(U5="5（A・絶・GX）",294,IF(U5="6（∞・神・GO）",315,)))))),IF(S5=70,IF(U5="1（無強化）",255,IF(U5="2（V2・改・G2）",280,IF(U5="3（V3・真・G3）",306,IF(U5="4（V4・爆・G4）",331,IF(U5="5（A・絶・GX）",357,IF(U5="6（∞・神・GO）",382,)))))),IF(S5=85,IF(U5="1（無強化）",312,IF(U5="2（V2・改・G2）",343,IF(U5="3（V3・真・G3）",374,IF(U5="4（V4・爆・G4）",405,IF(U5="5（A・絶・GX）",436,IF(U5="6（∞・神・GO）",468,)))))),IF(S5=100,IF(U5="1（無強化）",370,IF(U5="2（V2・改・G2）",407,IF(U5="3（V3・真・G3）",444,IF(U5="4（V4・爆・G4）",481,IF(U5="5（A・絶・GX）",518,IF(U5="6（∞・神・GO）",555,)))))),))))))</f>
        <v>370</v>
      </c>
      <c r="S14" s="37">
        <f>ROUNDDOWN(ROUNDDOWN((R14*(1+(O9+IF(Q9,30,0))/100))*IF(S9,1.2,1),0)*IF(Q9,1.3,1),0)</f>
        <v>370</v>
      </c>
      <c r="T14" s="90">
        <f>ROUNDUP(Q14/N12,0)</f>
        <v>1</v>
      </c>
      <c r="U14" s="85"/>
      <c r="V14" s="11"/>
    </row>
    <row r="15" spans="1:22" ht="42.7" customHeight="1">
      <c r="A15" s="76">
        <v>24</v>
      </c>
      <c r="B15" s="46"/>
      <c r="C15" s="46"/>
      <c r="D15" s="14" t="s">
        <v>8</v>
      </c>
      <c r="E15" s="77">
        <v>0</v>
      </c>
      <c r="F15" s="46"/>
      <c r="G15" s="46"/>
      <c r="H15" s="14" t="s">
        <v>8</v>
      </c>
      <c r="I15" s="77">
        <v>0</v>
      </c>
      <c r="J15" s="46"/>
      <c r="K15" s="46"/>
      <c r="L15" s="26" t="s">
        <v>8</v>
      </c>
      <c r="M15" s="31"/>
      <c r="N15" s="84" t="s">
        <v>55</v>
      </c>
      <c r="O15" s="85"/>
      <c r="P15" s="38" t="b">
        <v>1</v>
      </c>
      <c r="Q15" s="39"/>
      <c r="R15" s="3"/>
      <c r="S15" s="11"/>
      <c r="T15" s="11"/>
      <c r="U15" s="40"/>
      <c r="V15" s="41"/>
    </row>
  </sheetData>
  <mergeCells count="68">
    <mergeCell ref="U5:V5"/>
    <mergeCell ref="Q6:R8"/>
    <mergeCell ref="S6:T8"/>
    <mergeCell ref="Q9:R9"/>
    <mergeCell ref="S9:T9"/>
    <mergeCell ref="Q3:R4"/>
    <mergeCell ref="S3:T4"/>
    <mergeCell ref="Q5:R5"/>
    <mergeCell ref="S5:T5"/>
    <mergeCell ref="G7:I7"/>
    <mergeCell ref="J7:L7"/>
    <mergeCell ref="A3:C4"/>
    <mergeCell ref="D3:F4"/>
    <mergeCell ref="A5:C5"/>
    <mergeCell ref="D5:F5"/>
    <mergeCell ref="A6:L6"/>
    <mergeCell ref="A7:C7"/>
    <mergeCell ref="D7:F7"/>
    <mergeCell ref="A1:L1"/>
    <mergeCell ref="M1:V1"/>
    <mergeCell ref="A2:F2"/>
    <mergeCell ref="G2:J2"/>
    <mergeCell ref="K2:L4"/>
    <mergeCell ref="M2:R2"/>
    <mergeCell ref="S2:V2"/>
    <mergeCell ref="U3:V4"/>
    <mergeCell ref="O3:P4"/>
    <mergeCell ref="M5:N5"/>
    <mergeCell ref="O5:P5"/>
    <mergeCell ref="M6:P6"/>
    <mergeCell ref="M7:N8"/>
    <mergeCell ref="O7:P8"/>
    <mergeCell ref="G3:H4"/>
    <mergeCell ref="I3:J4"/>
    <mergeCell ref="G5:H5"/>
    <mergeCell ref="I5:J5"/>
    <mergeCell ref="M3:N4"/>
    <mergeCell ref="T13:U13"/>
    <mergeCell ref="T14:U14"/>
    <mergeCell ref="K11:L11"/>
    <mergeCell ref="N11:P11"/>
    <mergeCell ref="Q11:S11"/>
    <mergeCell ref="T11:U11"/>
    <mergeCell ref="N12:P12"/>
    <mergeCell ref="Q12:S12"/>
    <mergeCell ref="T12:U12"/>
    <mergeCell ref="N15:O15"/>
    <mergeCell ref="J9:K9"/>
    <mergeCell ref="A10:L10"/>
    <mergeCell ref="A11:B11"/>
    <mergeCell ref="C11:D11"/>
    <mergeCell ref="E11:F11"/>
    <mergeCell ref="G11:H11"/>
    <mergeCell ref="I11:J11"/>
    <mergeCell ref="A13:L13"/>
    <mergeCell ref="A14:D14"/>
    <mergeCell ref="E14:H14"/>
    <mergeCell ref="I14:L14"/>
    <mergeCell ref="A15:C15"/>
    <mergeCell ref="E15:G15"/>
    <mergeCell ref="I15:K15"/>
    <mergeCell ref="A8:C8"/>
    <mergeCell ref="D8:F8"/>
    <mergeCell ref="G8:I8"/>
    <mergeCell ref="J8:L8"/>
    <mergeCell ref="A9:B9"/>
    <mergeCell ref="D9:E9"/>
    <mergeCell ref="G9:H9"/>
  </mergeCells>
  <phoneticPr fontId="36"/>
  <conditionalFormatting sqref="A9:B9 D9:E9 G9:H9 J9:K9 M9 O9 A12 C12 E12 G12 I12 K12 A15:C15 E15:G15 I15:K15">
    <cfRule type="cellIs" dxfId="1" priority="1" operator="notEqual">
      <formula>0</formula>
    </cfRule>
  </conditionalFormatting>
  <dataValidations count="2">
    <dataValidation type="list" allowBlank="1" showErrorMessage="1" sqref="I5 U5" xr:uid="{00000000-0002-0000-0100-000000000000}">
      <formula1>"1（無強化）,2（V2・改・G2）,3（V3・真・G3）,4（V4・爆・G4）,5（A・絶・GX）,6（∞・神・GO）"</formula1>
    </dataValidation>
    <dataValidation type="list" allowBlank="1" showErrorMessage="1" sqref="G5 S5" xr:uid="{00000000-0002-0000-0100-000001000000}">
      <formula1>"30,50,60,70,85,100"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15"/>
  <sheetViews>
    <sheetView tabSelected="1" workbookViewId="0">
      <selection activeCell="X5" sqref="X5"/>
    </sheetView>
  </sheetViews>
  <sheetFormatPr defaultColWidth="12.5703125" defaultRowHeight="15.8" customHeight="1"/>
  <cols>
    <col min="1" max="22" width="7.42578125" customWidth="1"/>
  </cols>
  <sheetData>
    <row r="1" spans="1:22" ht="48.1" customHeight="1">
      <c r="A1" s="108" t="s">
        <v>56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85"/>
      <c r="M1" s="109" t="s">
        <v>37</v>
      </c>
      <c r="N1" s="92"/>
      <c r="O1" s="92"/>
      <c r="P1" s="92"/>
      <c r="Q1" s="92"/>
      <c r="R1" s="92"/>
      <c r="S1" s="92"/>
      <c r="T1" s="92"/>
      <c r="U1" s="92"/>
      <c r="V1" s="85"/>
    </row>
    <row r="2" spans="1:22" ht="30.8" customHeight="1">
      <c r="A2" s="110" t="s">
        <v>57</v>
      </c>
      <c r="B2" s="95"/>
      <c r="C2" s="95"/>
      <c r="D2" s="95"/>
      <c r="E2" s="95"/>
      <c r="F2" s="51"/>
      <c r="G2" s="111" t="s">
        <v>10</v>
      </c>
      <c r="H2" s="95"/>
      <c r="I2" s="95"/>
      <c r="J2" s="51"/>
      <c r="K2" s="112" t="s">
        <v>58</v>
      </c>
      <c r="L2" s="113"/>
      <c r="M2" s="115" t="s">
        <v>59</v>
      </c>
      <c r="N2" s="95"/>
      <c r="O2" s="95"/>
      <c r="P2" s="95"/>
      <c r="Q2" s="95"/>
      <c r="R2" s="51"/>
      <c r="S2" s="116" t="s">
        <v>10</v>
      </c>
      <c r="T2" s="92"/>
      <c r="U2" s="92"/>
      <c r="V2" s="117"/>
    </row>
    <row r="3" spans="1:22" ht="18" customHeight="1">
      <c r="A3" s="123" t="s">
        <v>11</v>
      </c>
      <c r="B3" s="81"/>
      <c r="C3" s="57"/>
      <c r="D3" s="96" t="s">
        <v>12</v>
      </c>
      <c r="E3" s="82"/>
      <c r="F3" s="67"/>
      <c r="G3" s="94" t="s">
        <v>6</v>
      </c>
      <c r="H3" s="57"/>
      <c r="I3" s="96" t="s">
        <v>13</v>
      </c>
      <c r="J3" s="49"/>
      <c r="K3" s="114"/>
      <c r="L3" s="113"/>
      <c r="M3" s="99" t="s">
        <v>41</v>
      </c>
      <c r="N3" s="100"/>
      <c r="O3" s="103" t="s">
        <v>42</v>
      </c>
      <c r="P3" s="100"/>
      <c r="Q3" s="103" t="s">
        <v>43</v>
      </c>
      <c r="R3" s="100"/>
      <c r="S3" s="103" t="s">
        <v>6</v>
      </c>
      <c r="T3" s="100"/>
      <c r="U3" s="103" t="s">
        <v>13</v>
      </c>
      <c r="V3" s="118"/>
    </row>
    <row r="4" spans="1:22" ht="28.6" customHeight="1">
      <c r="A4" s="124"/>
      <c r="B4" s="95"/>
      <c r="C4" s="58"/>
      <c r="D4" s="50"/>
      <c r="E4" s="95"/>
      <c r="F4" s="58"/>
      <c r="G4" s="95"/>
      <c r="H4" s="58"/>
      <c r="I4" s="50"/>
      <c r="J4" s="51"/>
      <c r="K4" s="50"/>
      <c r="L4" s="51"/>
      <c r="M4" s="101"/>
      <c r="N4" s="102"/>
      <c r="O4" s="104"/>
      <c r="P4" s="102"/>
      <c r="Q4" s="104"/>
      <c r="R4" s="102"/>
      <c r="S4" s="104"/>
      <c r="T4" s="102"/>
      <c r="U4" s="104"/>
      <c r="V4" s="119"/>
    </row>
    <row r="5" spans="1:22" ht="42.7" customHeight="1">
      <c r="A5" s="125">
        <f>82+118+169+10</f>
        <v>379</v>
      </c>
      <c r="B5" s="95"/>
      <c r="C5" s="58"/>
      <c r="D5" s="126">
        <f>82+126+161+10</f>
        <v>379</v>
      </c>
      <c r="E5" s="95"/>
      <c r="F5" s="58"/>
      <c r="G5" s="97">
        <v>85</v>
      </c>
      <c r="H5" s="58"/>
      <c r="I5" s="98" t="s">
        <v>14</v>
      </c>
      <c r="J5" s="51"/>
      <c r="K5" s="23">
        <v>0</v>
      </c>
      <c r="L5" s="24" t="s">
        <v>8</v>
      </c>
      <c r="M5" s="105">
        <v>324</v>
      </c>
      <c r="N5" s="85"/>
      <c r="O5" s="106">
        <v>385</v>
      </c>
      <c r="P5" s="85"/>
      <c r="Q5" s="106">
        <v>445</v>
      </c>
      <c r="R5" s="85"/>
      <c r="S5" s="129">
        <v>100</v>
      </c>
      <c r="T5" s="85"/>
      <c r="U5" s="130" t="s">
        <v>44</v>
      </c>
      <c r="V5" s="117"/>
    </row>
    <row r="6" spans="1:22" ht="30.8" customHeight="1">
      <c r="A6" s="78" t="s">
        <v>15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79"/>
      <c r="M6" s="107" t="s">
        <v>45</v>
      </c>
      <c r="N6" s="92"/>
      <c r="O6" s="92"/>
      <c r="P6" s="85"/>
      <c r="Q6" s="103" t="s">
        <v>46</v>
      </c>
      <c r="R6" s="100"/>
      <c r="S6" s="93" t="s">
        <v>50</v>
      </c>
      <c r="T6" s="92"/>
      <c r="U6" s="93" t="s">
        <v>60</v>
      </c>
      <c r="V6" s="85"/>
    </row>
    <row r="7" spans="1:22" ht="30.8" customHeight="1">
      <c r="A7" s="127" t="s">
        <v>16</v>
      </c>
      <c r="B7" s="120"/>
      <c r="C7" s="62"/>
      <c r="D7" s="59" t="s">
        <v>17</v>
      </c>
      <c r="E7" s="121"/>
      <c r="F7" s="128"/>
      <c r="G7" s="61" t="s">
        <v>18</v>
      </c>
      <c r="H7" s="120"/>
      <c r="I7" s="62"/>
      <c r="J7" s="59" t="s">
        <v>19</v>
      </c>
      <c r="K7" s="121"/>
      <c r="L7" s="122"/>
      <c r="M7" s="99" t="s">
        <v>61</v>
      </c>
      <c r="N7" s="100"/>
      <c r="O7" s="103" t="s">
        <v>62</v>
      </c>
      <c r="P7" s="100"/>
      <c r="Q7" s="131"/>
      <c r="R7" s="132"/>
      <c r="S7" s="133">
        <f>ROUNDDOWN((Q14*(1+M9/100))*IF(Q9,1.2,1),0)+S14</f>
        <v>5785</v>
      </c>
      <c r="T7" s="134"/>
      <c r="U7" s="133">
        <f>M5*2+O5*3+Q5*4</f>
        <v>3583</v>
      </c>
      <c r="V7" s="100"/>
    </row>
    <row r="8" spans="1:22" ht="30.8" customHeight="1">
      <c r="A8" s="73" t="s">
        <v>20</v>
      </c>
      <c r="B8" s="74"/>
      <c r="C8" s="70"/>
      <c r="D8" s="69" t="s">
        <v>21</v>
      </c>
      <c r="E8" s="74"/>
      <c r="F8" s="70"/>
      <c r="G8" s="72" t="s">
        <v>22</v>
      </c>
      <c r="H8" s="74"/>
      <c r="I8" s="70"/>
      <c r="J8" s="69" t="s">
        <v>23</v>
      </c>
      <c r="K8" s="74"/>
      <c r="L8" s="75"/>
      <c r="M8" s="101"/>
      <c r="N8" s="102"/>
      <c r="O8" s="104"/>
      <c r="P8" s="102"/>
      <c r="Q8" s="104"/>
      <c r="R8" s="102"/>
      <c r="S8" s="131"/>
      <c r="T8" s="81"/>
      <c r="U8" s="131"/>
      <c r="V8" s="132"/>
    </row>
    <row r="9" spans="1:22" ht="30.8" customHeight="1">
      <c r="A9" s="76">
        <v>50</v>
      </c>
      <c r="B9" s="46"/>
      <c r="C9" s="14" t="s">
        <v>8</v>
      </c>
      <c r="D9" s="77">
        <v>0</v>
      </c>
      <c r="E9" s="46"/>
      <c r="F9" s="14" t="s">
        <v>8</v>
      </c>
      <c r="G9" s="77">
        <v>0</v>
      </c>
      <c r="H9" s="46"/>
      <c r="I9" s="14" t="s">
        <v>8</v>
      </c>
      <c r="J9" s="77">
        <v>0</v>
      </c>
      <c r="K9" s="46"/>
      <c r="L9" s="26" t="s">
        <v>8</v>
      </c>
      <c r="M9" s="27">
        <v>1</v>
      </c>
      <c r="N9" s="28" t="s">
        <v>8</v>
      </c>
      <c r="O9" s="29">
        <v>120</v>
      </c>
      <c r="P9" s="28" t="s">
        <v>8</v>
      </c>
      <c r="Q9" s="106" t="b">
        <v>1</v>
      </c>
      <c r="R9" s="85"/>
      <c r="S9" s="104"/>
      <c r="T9" s="135"/>
      <c r="U9" s="104"/>
      <c r="V9" s="102"/>
    </row>
    <row r="10" spans="1:22" ht="30.8" customHeight="1">
      <c r="A10" s="78" t="s">
        <v>24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79"/>
      <c r="M10" s="30"/>
      <c r="N10" s="3"/>
      <c r="O10" s="3"/>
      <c r="P10" s="3"/>
      <c r="Q10" s="3"/>
      <c r="R10" s="3"/>
      <c r="S10" s="3"/>
      <c r="T10" s="3"/>
      <c r="U10" s="3"/>
      <c r="V10" s="3"/>
    </row>
    <row r="11" spans="1:22" ht="31.55" customHeight="1">
      <c r="A11" s="86" t="s">
        <v>25</v>
      </c>
      <c r="B11" s="57"/>
      <c r="C11" s="87" t="s">
        <v>26</v>
      </c>
      <c r="D11" s="49"/>
      <c r="E11" s="88" t="s">
        <v>27</v>
      </c>
      <c r="F11" s="49"/>
      <c r="G11" s="87" t="s">
        <v>28</v>
      </c>
      <c r="H11" s="49"/>
      <c r="I11" s="87" t="s">
        <v>29</v>
      </c>
      <c r="J11" s="67"/>
      <c r="K11" s="87" t="s">
        <v>30</v>
      </c>
      <c r="L11" s="83"/>
      <c r="M11" s="31"/>
      <c r="N11" s="91" t="s">
        <v>4</v>
      </c>
      <c r="O11" s="92"/>
      <c r="P11" s="85"/>
      <c r="Q11" s="93" t="s">
        <v>50</v>
      </c>
      <c r="R11" s="92"/>
      <c r="S11" s="85"/>
      <c r="T11" s="89" t="s">
        <v>51</v>
      </c>
      <c r="U11" s="85"/>
      <c r="V11" s="3"/>
    </row>
    <row r="12" spans="1:22" ht="42.7" customHeight="1">
      <c r="A12" s="25">
        <v>0</v>
      </c>
      <c r="B12" s="14" t="s">
        <v>8</v>
      </c>
      <c r="C12" s="13">
        <v>0</v>
      </c>
      <c r="D12" s="14" t="s">
        <v>8</v>
      </c>
      <c r="E12" s="13">
        <v>0</v>
      </c>
      <c r="F12" s="7" t="s">
        <v>8</v>
      </c>
      <c r="G12" s="13">
        <v>0</v>
      </c>
      <c r="H12" s="14" t="s">
        <v>8</v>
      </c>
      <c r="I12" s="13">
        <v>0</v>
      </c>
      <c r="J12" s="14" t="s">
        <v>8</v>
      </c>
      <c r="K12" s="13">
        <v>0</v>
      </c>
      <c r="L12" s="26" t="s">
        <v>8</v>
      </c>
      <c r="M12" s="31"/>
      <c r="N12" s="90">
        <f>ROUNDDOWN(SUM(N14:O14)*(1+P14)*(1+K5/100)*IF(P15, 1.2, 1),0)</f>
        <v>1861</v>
      </c>
      <c r="O12" s="92"/>
      <c r="P12" s="85"/>
      <c r="Q12" s="90">
        <f>ROUNDDOWN((Q14*(1+M9/100))*IF(Q9,1.2,1),0)+S14</f>
        <v>5785</v>
      </c>
      <c r="R12" s="92"/>
      <c r="S12" s="85"/>
      <c r="T12" s="90">
        <f>ROUNDUP(Q12/N12,0)</f>
        <v>4</v>
      </c>
      <c r="U12" s="85"/>
      <c r="V12" s="3"/>
    </row>
    <row r="13" spans="1:22" ht="30.8" customHeight="1">
      <c r="A13" s="78" t="s">
        <v>31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79"/>
      <c r="M13" s="31"/>
      <c r="N13" s="32" t="s">
        <v>5</v>
      </c>
      <c r="O13" s="32" t="s">
        <v>6</v>
      </c>
      <c r="P13" s="32" t="s">
        <v>45</v>
      </c>
      <c r="Q13" s="33" t="s">
        <v>52</v>
      </c>
      <c r="R13" s="33" t="s">
        <v>6</v>
      </c>
      <c r="S13" s="33" t="s">
        <v>53</v>
      </c>
      <c r="T13" s="89" t="s">
        <v>63</v>
      </c>
      <c r="U13" s="85"/>
      <c r="V13" s="3"/>
    </row>
    <row r="14" spans="1:22" ht="31.55" customHeight="1">
      <c r="A14" s="80" t="s">
        <v>32</v>
      </c>
      <c r="B14" s="81"/>
      <c r="C14" s="81"/>
      <c r="D14" s="57"/>
      <c r="E14" s="64" t="s">
        <v>33</v>
      </c>
      <c r="F14" s="82"/>
      <c r="G14" s="82"/>
      <c r="H14" s="49"/>
      <c r="I14" s="64" t="s">
        <v>34</v>
      </c>
      <c r="J14" s="82"/>
      <c r="K14" s="82"/>
      <c r="L14" s="83"/>
      <c r="M14" s="31"/>
      <c r="N14" s="34">
        <f>A5+D5</f>
        <v>758</v>
      </c>
      <c r="O14" s="34">
        <f>IF(G5=30, 115,IF(G5=50,IF(I5="1（無強化）",175,IF(I5="2（V2・改・G2）",192,IF(I5="3（V3・真・G3）",210,IF(I5="4（V4・爆・G4）",227,IF(I5="5（A・絶・GX）",245,IF(I5="6（∞・神・GO）",262,)))))),IF(G5=60,IF(I5="1（無強化）",210,IF(I5="2（V2・改・G2）",231,IF(I5="3（V3・真・G3）",252,IF(I5="4（V4・爆・G4）",273,IF(I5="5（A・絶・GX）",294,IF(I5="6（∞・神・GO）",315,)))))),IF(G5=70,IF(I5="1（無強化）",255,IF(I5="2（V2・改・G2）",280,IF(I5="3（V3・真・G3）",306,IF(I5="4（V4・爆・G4）",331,IF(I5="5（A・絶・GX）",357,IF(I5="6（∞・神・GO）",382,)))))),IF(G5=85,IF(I5="1（無強化）",312,IF(I5="2（V2・改・G2）",343,IF(I5="3（V3・真・G3）",374,IF(I5="4（V4・爆・G4）",405,IF(I5="5（A・絶・GX）",436,IF(I5="6（∞・神・GO）",468,)))))),IF(G5=100,IF(I5="1（無強化）",370,IF(I5="2（V2・改・G2）",407,IF(I5="3（V3・真・G3）",444,IF(I5="4（V4・爆・G4）",481,IF(I5="5（A・絶・GX）",518,IF(I5="6（∞・神・GO）",555,)))))),))))))</f>
        <v>312</v>
      </c>
      <c r="P14" s="35">
        <f>SUM(A9,D9,G9,J9,A12,C12,E12,G12,I12,K12,A15,E15,I15)/100</f>
        <v>0.74</v>
      </c>
      <c r="Q14" s="36">
        <f>M5*2+O5*3+Q5*4</f>
        <v>3583</v>
      </c>
      <c r="R14" s="36">
        <f>IF(S5=30, 115,IF(S5=50,IF(U5="1（無強化）",175,IF(U5="2（V2・改・G2）",192,IF(U5="3（V3・真・G3）",210,IF(U5="4（V4・爆・G4）",227,IF(U5="5（A・絶・GX）",245,IF(U5="6（∞・神・GO）",262,)))))),IF(S5=60,IF(U5="1（無強化）",210,IF(U5="2（V2・改・G2）",231,IF(U5="3（V3・真・G3）",252,IF(U5="4（V4・爆・G4）",273,IF(U5="5（A・絶・GX）",294,IF(U5="6（∞・神・GO）",315,)))))),IF(S5=70,IF(U5="1（無強化）",255,IF(U5="2（V2・改・G2）",280,IF(U5="3（V3・真・G3）",306,IF(U5="4（V4・爆・G4）",331,IF(U5="5（A・絶・GX）",357,IF(U5="6（∞・神・GO）",382,)))))),IF(S5=85,IF(U5="1（無強化）",312,IF(U5="2（V2・改・G2）",343,IF(U5="3（V3・真・G3）",374,IF(U5="4（V4・爆・G4）",405,IF(U5="5（A・絶・GX）",436,IF(U5="6（∞・神・GO）",468,)))))),IF(S5=100,IF(U5="1（無強化）",370,IF(U5="2（V2・改・G2）",407,IF(U5="3（V3・真・G3）",444,IF(U5="4（V4・爆・G4）",481,IF(U5="5（A・絶・GX）",518,IF(U5="6（∞・神・GO）",555,)))))),))))))</f>
        <v>444</v>
      </c>
      <c r="S14" s="37">
        <f>ROUNDDOWN(ROUNDDOWN((R14*(1+(O9+IF(Q9,30,0))/100))*IF(S9,1.2,1),0)*IF(Q9,1.3,1),0)</f>
        <v>1443</v>
      </c>
      <c r="T14" s="90">
        <f>ROUNDUP(Q14/N12,0)</f>
        <v>2</v>
      </c>
      <c r="U14" s="85"/>
      <c r="V14" s="11"/>
    </row>
    <row r="15" spans="1:22" ht="42.7" customHeight="1">
      <c r="A15" s="76">
        <v>24</v>
      </c>
      <c r="B15" s="46"/>
      <c r="C15" s="46"/>
      <c r="D15" s="14" t="s">
        <v>8</v>
      </c>
      <c r="E15" s="77">
        <v>0</v>
      </c>
      <c r="F15" s="46"/>
      <c r="G15" s="46"/>
      <c r="H15" s="14" t="s">
        <v>8</v>
      </c>
      <c r="I15" s="77">
        <v>0</v>
      </c>
      <c r="J15" s="46"/>
      <c r="K15" s="46"/>
      <c r="L15" s="26" t="s">
        <v>8</v>
      </c>
      <c r="M15" s="31"/>
      <c r="N15" s="84" t="s">
        <v>55</v>
      </c>
      <c r="O15" s="85"/>
      <c r="P15" s="38"/>
      <c r="Q15" s="39"/>
      <c r="R15" s="3"/>
      <c r="S15" s="11"/>
      <c r="T15" s="11"/>
      <c r="U15" s="40"/>
      <c r="V15" s="41"/>
    </row>
  </sheetData>
  <mergeCells count="70">
    <mergeCell ref="T14:U14"/>
    <mergeCell ref="A15:C15"/>
    <mergeCell ref="E15:G15"/>
    <mergeCell ref="I15:K15"/>
    <mergeCell ref="N15:O15"/>
    <mergeCell ref="D5:F5"/>
    <mergeCell ref="A6:L6"/>
    <mergeCell ref="A7:C7"/>
    <mergeCell ref="D7:F7"/>
    <mergeCell ref="A14:D14"/>
    <mergeCell ref="E14:H14"/>
    <mergeCell ref="I14:L14"/>
    <mergeCell ref="A1:L1"/>
    <mergeCell ref="M1:V1"/>
    <mergeCell ref="A2:F2"/>
    <mergeCell ref="G2:J2"/>
    <mergeCell ref="K2:L4"/>
    <mergeCell ref="M2:R2"/>
    <mergeCell ref="S2:V2"/>
    <mergeCell ref="U3:V4"/>
    <mergeCell ref="A3:C4"/>
    <mergeCell ref="D3:F4"/>
    <mergeCell ref="O3:P4"/>
    <mergeCell ref="M5:N5"/>
    <mergeCell ref="O5:P5"/>
    <mergeCell ref="M6:P6"/>
    <mergeCell ref="M7:N8"/>
    <mergeCell ref="O7:P8"/>
    <mergeCell ref="G3:H4"/>
    <mergeCell ref="I3:J4"/>
    <mergeCell ref="G5:H5"/>
    <mergeCell ref="I5:J5"/>
    <mergeCell ref="M3:N4"/>
    <mergeCell ref="T12:U12"/>
    <mergeCell ref="T13:U13"/>
    <mergeCell ref="K11:L11"/>
    <mergeCell ref="N11:P11"/>
    <mergeCell ref="Q11:S11"/>
    <mergeCell ref="T11:U11"/>
    <mergeCell ref="N12:P12"/>
    <mergeCell ref="Q12:S12"/>
    <mergeCell ref="A13:L13"/>
    <mergeCell ref="A10:L10"/>
    <mergeCell ref="A11:B11"/>
    <mergeCell ref="C11:D11"/>
    <mergeCell ref="E11:F11"/>
    <mergeCell ref="G11:H11"/>
    <mergeCell ref="I11:J11"/>
    <mergeCell ref="U5:V5"/>
    <mergeCell ref="U6:V6"/>
    <mergeCell ref="U7:V9"/>
    <mergeCell ref="A8:C8"/>
    <mergeCell ref="D8:F8"/>
    <mergeCell ref="G8:I8"/>
    <mergeCell ref="J8:L8"/>
    <mergeCell ref="A9:B9"/>
    <mergeCell ref="D9:E9"/>
    <mergeCell ref="G9:H9"/>
    <mergeCell ref="J9:K9"/>
    <mergeCell ref="G7:I7"/>
    <mergeCell ref="J7:L7"/>
    <mergeCell ref="S6:T6"/>
    <mergeCell ref="S7:T9"/>
    <mergeCell ref="A5:C5"/>
    <mergeCell ref="Q6:R8"/>
    <mergeCell ref="Q9:R9"/>
    <mergeCell ref="Q3:R4"/>
    <mergeCell ref="S3:T4"/>
    <mergeCell ref="Q5:R5"/>
    <mergeCell ref="S5:T5"/>
  </mergeCells>
  <phoneticPr fontId="36"/>
  <conditionalFormatting sqref="A9:B9 D9:E9 G9:H9 J9:K9 M9 O9 A12 C12 E12 G12 I12 K12 A15:C15 E15:G15 I15:K15">
    <cfRule type="cellIs" dxfId="0" priority="1" operator="notEqual">
      <formula>0</formula>
    </cfRule>
  </conditionalFormatting>
  <dataValidations count="2">
    <dataValidation type="list" allowBlank="1" showErrorMessage="1" sqref="I5 U5" xr:uid="{00000000-0002-0000-0200-000000000000}">
      <formula1>"1（無強化）,2（V2・改・G2）,3（V3・真・G3）,4（V4・爆・G4）,5（A・絶・GX）,6（∞・神・GO）"</formula1>
    </dataValidation>
    <dataValidation type="list" allowBlank="1" showErrorMessage="1" sqref="G5 S5" xr:uid="{00000000-0002-0000-0200-000001000000}">
      <formula1>"30,50,60,70,85,100"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2:B13"/>
  <sheetViews>
    <sheetView workbookViewId="0">
      <selection activeCell="B8" sqref="B8"/>
    </sheetView>
  </sheetViews>
  <sheetFormatPr defaultColWidth="12.5703125" defaultRowHeight="15.8" customHeight="1"/>
  <cols>
    <col min="1" max="1" width="4.85546875" customWidth="1"/>
    <col min="2" max="2" width="88.85546875" customWidth="1"/>
    <col min="3" max="3" width="3.5703125" customWidth="1"/>
  </cols>
  <sheetData>
    <row r="2" spans="2:2" ht="15.8" customHeight="1">
      <c r="B2" s="42" t="s">
        <v>64</v>
      </c>
    </row>
    <row r="4" spans="2:2">
      <c r="B4" s="43" t="s">
        <v>65</v>
      </c>
    </row>
    <row r="5" spans="2:2">
      <c r="B5" s="43" t="s">
        <v>66</v>
      </c>
    </row>
    <row r="6" spans="2:2">
      <c r="B6" s="43" t="s">
        <v>67</v>
      </c>
    </row>
    <row r="7" spans="2:2">
      <c r="B7" s="43" t="s">
        <v>68</v>
      </c>
    </row>
    <row r="8" spans="2:2">
      <c r="B8" s="44"/>
    </row>
    <row r="9" spans="2:2" ht="15.8" customHeight="1">
      <c r="B9" s="43" t="s">
        <v>69</v>
      </c>
    </row>
    <row r="10" spans="2:2" ht="15.8" customHeight="1">
      <c r="B10" s="43" t="s">
        <v>70</v>
      </c>
    </row>
    <row r="12" spans="2:2">
      <c r="B12" s="5" t="s">
        <v>1</v>
      </c>
    </row>
    <row r="13" spans="2:2" ht="14.1">
      <c r="B13" s="136" t="s">
        <v>71</v>
      </c>
    </row>
  </sheetData>
  <phoneticPr fontId="3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計算表</vt:lpstr>
      <vt:lpstr>計算表 のコピー</vt:lpstr>
      <vt:lpstr>計算表 のコピー のコピー</vt:lpstr>
      <vt:lpstr>使い方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 F</cp:lastModifiedBy>
  <dcterms:modified xsi:type="dcterms:W3CDTF">2025-12-24T02:27:58Z</dcterms:modified>
</cp:coreProperties>
</file>